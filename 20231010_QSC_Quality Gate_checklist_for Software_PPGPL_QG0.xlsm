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bosch-my.sharepoint.com/personal/wvq1kor_bosch_com/Documents/Swetha/GROW/PPGPL/QG/QG0/"/>
    </mc:Choice>
  </mc:AlternateContent>
  <xr:revisionPtr revIDLastSave="54" documentId="13_ncr:1_{2F95F734-E59C-4BCE-8A83-108C4EE6271D}" xr6:coauthVersionLast="47" xr6:coauthVersionMax="47" xr10:uidLastSave="{B026B4CC-7EFD-44CA-B4C2-2B7BA4B670D7}"/>
  <bookViews>
    <workbookView xWindow="-110" yWindow="-110" windowWidth="19420" windowHeight="11620" firstSheet="1" activeTab="1" xr2:uid="{00000000-000D-0000-FFFF-FFFF00000000}"/>
  </bookViews>
  <sheets>
    <sheet name="Cover Sheet" sheetId="10" r:id="rId1"/>
    <sheet name="SW_QG" sheetId="2" r:id="rId2"/>
    <sheet name="QG Approval" sheetId="11" r:id="rId3"/>
    <sheet name="OPL" sheetId="14" r:id="rId4"/>
    <sheet name="Blank" sheetId="15" state="hidden" r:id="rId5"/>
    <sheet name="Revision History" sheetId="12" state="hidden" r:id="rId6"/>
  </sheets>
  <definedNames>
    <definedName name="_xlnm._FilterDatabase" localSheetId="0" hidden="1">'Cover Sheet'!$A$2:$D$2</definedName>
    <definedName name="_xlnm._FilterDatabase" localSheetId="3" hidden="1">OPL!$A$2:$L$2</definedName>
    <definedName name="_xlnm._FilterDatabase" localSheetId="1" hidden="1">SW_QG!$A$5:$S$42</definedName>
    <definedName name="_xlnm.Print_Area" localSheetId="2">'QG Approval'!$A$1:$F$29</definedName>
    <definedName name="_xlnm.Print_Area" localSheetId="5">'Revision History'!$A$1:$D$32</definedName>
    <definedName name="_xlnm.Print_Area" localSheetId="1">SW_QG!$A$1:$S$42</definedName>
    <definedName name="_xlnm.Print_Titles" localSheetId="1">SW_QG!$5:$5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9" i="11" l="1"/>
  <c r="C28" i="11"/>
  <c r="C27" i="11"/>
  <c r="B2" i="11" l="1"/>
  <c r="L4" i="14" l="1"/>
  <c r="L45" i="14" l="1"/>
  <c r="L44" i="14"/>
  <c r="L43" i="14"/>
  <c r="L42" i="14"/>
  <c r="L41" i="14"/>
  <c r="L40" i="14"/>
  <c r="L39" i="14"/>
  <c r="L38" i="14"/>
  <c r="L37" i="14"/>
  <c r="L36" i="14"/>
  <c r="L35" i="14"/>
  <c r="L34" i="14"/>
  <c r="L33" i="14"/>
  <c r="L32" i="14"/>
  <c r="L31" i="14"/>
  <c r="L30" i="14"/>
  <c r="L29" i="14"/>
  <c r="L28" i="14"/>
  <c r="L27" i="14"/>
  <c r="L26" i="14"/>
  <c r="L25" i="14"/>
  <c r="L24" i="14"/>
  <c r="L23" i="14"/>
  <c r="L22" i="14"/>
  <c r="L21" i="14"/>
  <c r="L20" i="14"/>
  <c r="L19" i="14"/>
  <c r="L18" i="14"/>
  <c r="L17" i="14"/>
  <c r="L16" i="14"/>
  <c r="L15" i="14"/>
  <c r="L14" i="14"/>
  <c r="L13" i="14"/>
  <c r="L12" i="14"/>
  <c r="L11" i="14"/>
  <c r="L10" i="14"/>
  <c r="L9" i="14"/>
  <c r="L8" i="14"/>
  <c r="L7" i="14"/>
  <c r="L6" i="14"/>
  <c r="L5" i="14"/>
  <c r="L3" i="14"/>
  <c r="B17" i="11" l="1"/>
  <c r="B18" i="11"/>
  <c r="E3" i="2"/>
  <c r="B4" i="11" s="1"/>
  <c r="B3" i="11" l="1"/>
  <c r="E3" i="11"/>
  <c r="E2" i="11"/>
  <c r="D18" i="11" l="1"/>
  <c r="D19" i="11"/>
  <c r="D20" i="11"/>
  <c r="D21" i="11"/>
  <c r="D22" i="11"/>
  <c r="D23" i="11"/>
  <c r="D17" i="11"/>
  <c r="C18" i="11"/>
  <c r="C19" i="11"/>
  <c r="C20" i="11"/>
  <c r="C21" i="11"/>
  <c r="C22" i="11"/>
  <c r="C23" i="11"/>
  <c r="C17" i="11"/>
  <c r="B19" i="11"/>
  <c r="B20" i="11"/>
  <c r="B21" i="11"/>
  <c r="B22" i="11"/>
  <c r="B23" i="11"/>
  <c r="E22" i="11" l="1"/>
  <c r="E21" i="11"/>
  <c r="E23" i="11"/>
  <c r="E19" i="11"/>
  <c r="E18" i="11"/>
  <c r="E20" i="11"/>
  <c r="E17"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5" authorId="0" shapeId="0" xr:uid="{00000000-0006-0000-0100-000001000000}">
      <text>
        <r>
          <rPr>
            <sz val="9"/>
            <color indexed="81"/>
            <rFont val="Tahoma"/>
            <family val="2"/>
          </rPr>
          <t>A General
SW Software specific</t>
        </r>
      </text>
    </comment>
    <comment ref="B7" authorId="0" shapeId="0" xr:uid="{00000000-0006-0000-0100-000002000000}">
      <text>
        <r>
          <rPr>
            <b/>
            <sz val="9"/>
            <color indexed="81"/>
            <rFont val="Tahoma"/>
            <family val="2"/>
          </rPr>
          <t>Author:</t>
        </r>
        <r>
          <rPr>
            <sz val="9"/>
            <color indexed="81"/>
            <rFont val="Tahoma"/>
            <family val="2"/>
          </rPr>
          <t xml:space="preserve">
CDQ 1.1 is split into 2 questions</t>
        </r>
      </text>
    </comment>
    <comment ref="B30" authorId="0" shapeId="0" xr:uid="{00000000-0006-0000-0100-000003000000}">
      <text>
        <r>
          <rPr>
            <b/>
            <sz val="9"/>
            <color indexed="81"/>
            <rFont val="Tahoma"/>
            <family val="2"/>
          </rPr>
          <t>Author:</t>
        </r>
        <r>
          <rPr>
            <sz val="9"/>
            <color indexed="81"/>
            <rFont val="Tahoma"/>
            <family val="2"/>
          </rPr>
          <t xml:space="preserve">
changed number from CDQ 11.1 to CDQ 2.13</t>
        </r>
      </text>
    </comment>
  </commentList>
</comments>
</file>

<file path=xl/sharedStrings.xml><?xml version="1.0" encoding="utf-8"?>
<sst xmlns="http://schemas.openxmlformats.org/spreadsheetml/2006/main" count="747" uniqueCount="360">
  <si>
    <t>Project Information</t>
  </si>
  <si>
    <t>Project Info</t>
  </si>
  <si>
    <t>Remarks</t>
  </si>
  <si>
    <t xml:space="preserve">Project description </t>
  </si>
  <si>
    <t xml:space="preserve">QG0 for the PPGPL Project for the Digital Twin for 3 Assets as per SOW2 ( Gas Turbine, Cooling Tower Fan, Pump ) </t>
  </si>
  <si>
    <t xml:space="preserve">Release Version No. </t>
  </si>
  <si>
    <t>Release Version 1</t>
  </si>
  <si>
    <t>Top Management</t>
  </si>
  <si>
    <t>Hemanth ( CEO/ GROW)</t>
  </si>
  <si>
    <t>Development Department</t>
  </si>
  <si>
    <t>Project ID_Project Name</t>
  </si>
  <si>
    <t>PJ_109491_PPGPL_01_DT_IAPM</t>
  </si>
  <si>
    <t>PM Name</t>
  </si>
  <si>
    <t>Ashok Mallya</t>
  </si>
  <si>
    <t>QG_ID</t>
  </si>
  <si>
    <t>QG Date (13-10-23)</t>
  </si>
  <si>
    <t>13.12.2023</t>
  </si>
  <si>
    <t>QG Moderator</t>
  </si>
  <si>
    <t xml:space="preserve">Ramkumar R K (BGSW/QMM-ACS) </t>
  </si>
  <si>
    <t>Sub-ProjectID_Name</t>
  </si>
  <si>
    <t>Sub-Project PM</t>
  </si>
  <si>
    <t>Sales Manager</t>
  </si>
  <si>
    <t>Bhuvan Shetty</t>
  </si>
  <si>
    <t>For location specific roles, Please refer</t>
  </si>
  <si>
    <t>RASIC CHART XLS</t>
  </si>
  <si>
    <t>Stakeholder Information</t>
  </si>
  <si>
    <t>Name &amp; Department</t>
  </si>
  <si>
    <t>QG Participant</t>
  </si>
  <si>
    <t xml:space="preserve">Bharatesh C E (BGSW/QMM-PD) </t>
  </si>
  <si>
    <t>Yes</t>
  </si>
  <si>
    <t xml:space="preserve">Swetha Venkatesappa (SX/ETL7) </t>
  </si>
  <si>
    <t xml:space="preserve">Bhatt Satish Chandra (MS/ECL7) </t>
  </si>
  <si>
    <t>Ashok Mallya (GROW/PAD-PD)</t>
  </si>
  <si>
    <t>BGSW / QMM</t>
  </si>
  <si>
    <t>Software (Product / Component) QG Assessment</t>
  </si>
  <si>
    <t>Version: 3.4</t>
  </si>
  <si>
    <t>Overall QG Rating</t>
  </si>
  <si>
    <r>
      <rPr>
        <b/>
        <sz val="10"/>
        <rFont val="Arial"/>
        <family val="2"/>
      </rPr>
      <t>Criteria</t>
    </r>
    <r>
      <rPr>
        <sz val="10"/>
        <rFont val="Arial"/>
        <family val="2"/>
      </rPr>
      <t xml:space="preserve">
</t>
    </r>
    <r>
      <rPr>
        <sz val="10"/>
        <color indexed="17"/>
        <rFont val="Arial"/>
        <family val="2"/>
      </rPr>
      <t>GREEN :</t>
    </r>
    <r>
      <rPr>
        <sz val="10"/>
        <rFont val="Arial"/>
        <family val="2"/>
      </rPr>
      <t xml:space="preserve">  Target is reached or can be certainly reached, no measure necessary.
</t>
    </r>
    <r>
      <rPr>
        <sz val="10"/>
        <color indexed="51"/>
        <rFont val="Arial"/>
        <family val="2"/>
      </rPr>
      <t>YELLOW :</t>
    </r>
    <r>
      <rPr>
        <sz val="10"/>
        <rFont val="Arial"/>
        <family val="2"/>
      </rPr>
      <t xml:space="preserve">  Target can be reached with additional measures.
</t>
    </r>
    <r>
      <rPr>
        <sz val="10"/>
        <color indexed="10"/>
        <rFont val="Arial"/>
        <family val="2"/>
      </rPr>
      <t xml:space="preserve">RED : </t>
    </r>
    <r>
      <rPr>
        <sz val="10"/>
        <rFont val="Arial"/>
        <family val="2"/>
      </rPr>
      <t>Target cannot be reached. Management decision is required , if necessary targets have to be adjusted.</t>
    </r>
  </si>
  <si>
    <t>Confidential</t>
  </si>
  <si>
    <t>Focus Area</t>
  </si>
  <si>
    <t>No.</t>
  </si>
  <si>
    <t>Q.No</t>
  </si>
  <si>
    <t>A / SW</t>
  </si>
  <si>
    <t>SW-QG0</t>
  </si>
  <si>
    <t>SW-QGR</t>
  </si>
  <si>
    <t>SW-QG4</t>
  </si>
  <si>
    <t>SW-QG5</t>
  </si>
  <si>
    <t>Category</t>
  </si>
  <si>
    <t>Measurement criteria</t>
  </si>
  <si>
    <t>Status Requirement</t>
  </si>
  <si>
    <t>Assessment Remarks</t>
  </si>
  <si>
    <t>Assessment Rating Internal</t>
  </si>
  <si>
    <t>Assessment Rating</t>
  </si>
  <si>
    <t>Supplier of result</t>
  </si>
  <si>
    <t>Measures / Actions</t>
  </si>
  <si>
    <t>Responsibility</t>
  </si>
  <si>
    <t>Due Date
(dd-mmm-yy)</t>
  </si>
  <si>
    <t>Project Management (PM)</t>
  </si>
  <si>
    <t>CDQ 1.9</t>
  </si>
  <si>
    <t>1</t>
  </si>
  <si>
    <t>A</t>
  </si>
  <si>
    <t>x</t>
  </si>
  <si>
    <t>1 Project management</t>
  </si>
  <si>
    <t>Previous QG approved
Measures from the previous QGs are incorporated, monitored and are effectively introduced.</t>
  </si>
  <si>
    <t>The previous QG report should have been reviewed and approved. All the open points identified should have been closed
If the above requirement is not satisfied, then the QG can be stopped
Question is not applicable for QG0 and QGP0. For QGC0 check corresponding QGP approval and open point closure</t>
  </si>
  <si>
    <t>PM</t>
  </si>
  <si>
    <t>CDQ 1.1</t>
  </si>
  <si>
    <t>2</t>
  </si>
  <si>
    <r>
      <t>The approved C</t>
    </r>
    <r>
      <rPr>
        <sz val="10"/>
        <color theme="1"/>
        <rFont val="Arial"/>
        <family val="2"/>
      </rPr>
      <t>ontract is available.</t>
    </r>
  </si>
  <si>
    <t>QG0: All relevant contracts are signed. 
Confirmation from C/LSR-IN team on availability of all applicable contracts.
i) With Customer - NDA, Master Agreement, SOW, PO
ii) Intra-Bosch Agreements (applicable if any other Bosch entity is involved in the project)
Signed copy of the above agreements should be available with project team.
C/LSR-IN and BGSW/EIP are consulted to align on the IP ownership and licensing model
QGR/4: The signed contracts are valid as on date.</t>
  </si>
  <si>
    <t>1. SOW and PO is available and stored in sharepoint
https://inside-share-hosted-apps.bosch.com/DMS/GetDocumentService/Document.svc/GetDocumentURL?documentID=P15S170185-808998765-552
2. Contract between North America and India - Need to check with North America team.</t>
  </si>
  <si>
    <t>Y</t>
  </si>
  <si>
    <t>NDA agreement, Master agreement and inter Bosch agreements if any to be made available</t>
  </si>
  <si>
    <t>Ashok</t>
  </si>
  <si>
    <t>3</t>
  </si>
  <si>
    <t>Project structure and organization chart is defined.
The project plan (in PROMISE) is available for System and Component projects</t>
  </si>
  <si>
    <t>QG0: Project / Managed Services should have been registered for System / Component development. 
Project linking is done in case Matrix structure is planned
Escalation matrix is defined
Project plan, project structure, Organization chart are available</t>
  </si>
  <si>
    <t>1. Project Team Structure and Org Chart is available in the sharepoint. 
https://inside-share-hosted-apps.bosch.com/DMS/GetDocumentService/Document.svc/GetDocumentURL?documentID=P15S170185-808998765-607
2. Project plan is available in PROMISE in initial stage</t>
  </si>
  <si>
    <t>G</t>
  </si>
  <si>
    <t>CDQ 11.2</t>
  </si>
  <si>
    <t>4</t>
  </si>
  <si>
    <t>11 Risk management</t>
  </si>
  <si>
    <t>Risk management is implemented and approved.</t>
  </si>
  <si>
    <t>Risk plan is available in PROMISE and risks are being managed. Appropriate mitigation and contingency are identified and actions implemented for all Red or Yellow risks.
Risk plan is updated for any changes and up to date</t>
  </si>
  <si>
    <t>Risk details are available and will be updated in Promise.</t>
  </si>
  <si>
    <t xml:space="preserve">To update the Risk in the Promise tool </t>
  </si>
  <si>
    <t>On Time (OT)</t>
  </si>
  <si>
    <t>CDQ 1.2
CDQ 1.13</t>
  </si>
  <si>
    <t>5</t>
  </si>
  <si>
    <t>An up to date release plan / milestone plan is available and agreed with all the stakeholders and is adhered to
Schedule is updated and
is feasible to achieve.</t>
  </si>
  <si>
    <t>Release plan / milestone plan includes the releases that are supplied to customers (or to the market) 
QG0: Initial release plan is in place
QGR/QG4: The release plan is up to date, reflects the project status and approved for release
Schedule is available in PRIME (also for subprojects / components) and agreed with all stakeholders
The target dates are up-to-date and achievable
The impact of the target dates on the subprojects and components has been analyzed
Customer milestones are taken into account.</t>
  </si>
  <si>
    <t>1. QG plan is available in PROMISE
2. Milestone plan is available in PROMISE</t>
  </si>
  <si>
    <t>On Budget (OB)</t>
  </si>
  <si>
    <t>CDQ 1.3</t>
  </si>
  <si>
    <t>6</t>
  </si>
  <si>
    <t xml:space="preserve">The cost targets are known and are maintained within limits. The business and revenue models are defined. The revenues projected are achievable. 
</t>
  </si>
  <si>
    <t>QG0: The cost targets are set. Business model is in place
QGR/QG4: The costs are within the set targets. The revenues projected are achievable.
QG5: The costs are within the set target.  Revenues are achieved as projected. An updated profitability calculation is available and has been confirmed
Respective teams in BGSW/CTG and BGSW/SAM may be contacted to arrive at the cost and revenue targets respectively</t>
  </si>
  <si>
    <t xml:space="preserve">The cost details are available and is stored in the Share point folder PPGPL MVP
https://sites.inside-share5.bosch.com/sites/170185/Documents/PPGPL_MVP/05_Budget_Project_Cost
</t>
  </si>
  <si>
    <t>CDQ 1.5</t>
  </si>
  <si>
    <t>7</t>
  </si>
  <si>
    <t>The project budget will be adhered to. Required resources are available (HW, SW, Human, etc)</t>
  </si>
  <si>
    <t>Project budget is the cost of development (resource cost, travel cost). Sample costs may be included. 
Required resources and skills are available and sufficient to fulfill the agreed requirements.
QG0: The allocated budget is approved and achievable. In case of PIN (Pre-Investment) approved IA is available
QGR/QG4/QG5: The proportionate budget has been adhered to in every phase including the subproject / components</t>
  </si>
  <si>
    <t>Budget is available for the project and will be utilized as per the project plan
https://sites.inside-share5.bosch.com/sites/170185/Documents/PPGPL_MVP/05_Budget_Project_Cost</t>
  </si>
  <si>
    <t>CDQ 1.4
CDQ 7.1</t>
  </si>
  <si>
    <t>8</t>
  </si>
  <si>
    <t>The quality targets (internal or from customer) are set and are achievable
Release / Acceptance criteria are defined (fully)</t>
  </si>
  <si>
    <t>QG0: Quality targets are set and are achievable.  Acceptance criteria defined and approved
QGR/QG4/QG5: Quality target is achieved. Acceptance criteria is successfully met. If not met, then is there approval from the appropriate authority</t>
  </si>
  <si>
    <t>Quality Targets are set by QMM team Bharatesh and updated additional quality Targets for RDCT to be defined.</t>
  </si>
  <si>
    <t>QM</t>
  </si>
  <si>
    <t xml:space="preserve">The quality target to add additional Quality Targets for RDCT </t>
  </si>
  <si>
    <t>Ashok/ Bharatesh</t>
  </si>
  <si>
    <t>16.10.2023</t>
  </si>
  <si>
    <t>CDQ 1.6</t>
  </si>
  <si>
    <t>9</t>
  </si>
  <si>
    <t>Lessons learned have been drawn up / taken into consideration.</t>
  </si>
  <si>
    <t>QG0: Lessons learned from other similar projects are considered while project planning
QG4/QG5: Lessons learned are documented and available for other projects</t>
  </si>
  <si>
    <r>
      <t xml:space="preserve">Lessons learnt are uploaded in Sharepoint. Retrospective of Sprints for 0 and Sprint 1are stored and implemened as running Improvements
</t>
    </r>
    <r>
      <rPr>
        <b/>
        <sz val="10"/>
        <rFont val="Arial"/>
        <family val="2"/>
      </rPr>
      <t>https://inside-share-hosted-apps.bosch.com/DMS/GetDocumentService/Document.svc/GetDocumentURL?documentID=P15S170185-808998765-622</t>
    </r>
  </si>
  <si>
    <t>CDQ 1.7</t>
  </si>
  <si>
    <t>10</t>
  </si>
  <si>
    <t>Interfaces with the other projects / products / subprojects / components have been taken into account.</t>
  </si>
  <si>
    <t>Dependencies / impact from other projects or products or subprojects / components are identified, agreed. Actions implemented
Kick-off meeting including all stakeholders conducted
Agreement with internal stakeholders available</t>
  </si>
  <si>
    <r>
      <t xml:space="preserve">All documents uploaded in sharepoint. It’s a standalone project.
</t>
    </r>
    <r>
      <rPr>
        <b/>
        <sz val="10"/>
        <rFont val="Arial"/>
        <family val="2"/>
      </rPr>
      <t>Link to be updated.</t>
    </r>
  </si>
  <si>
    <t>CDQ 1.10</t>
  </si>
  <si>
    <t>11</t>
  </si>
  <si>
    <t>Communication concept for market launch is available.</t>
  </si>
  <si>
    <r>
      <rPr>
        <b/>
        <sz val="10"/>
        <rFont val="Arial"/>
        <family val="2"/>
      </rPr>
      <t>Applicable only for SW Product</t>
    </r>
    <r>
      <rPr>
        <sz val="10"/>
        <rFont val="Arial"/>
        <family val="2"/>
      </rPr>
      <t xml:space="preserve">
QG0: Concept for market introduction is planned.
QG4: Implemented</t>
    </r>
  </si>
  <si>
    <t>NA</t>
  </si>
  <si>
    <t>Marketing,
PM</t>
  </si>
  <si>
    <t>CDQ 1.12
CDQ 15.1</t>
  </si>
  <si>
    <t>12</t>
  </si>
  <si>
    <t>Configuration management is defined and is adhered to.
Complete software baseline (including internally developed, COTS, supplied software, OSS etc) is available and reproducible. This is verified.</t>
  </si>
  <si>
    <t>QG0: Configuration management plan is available and is up to date.
QGR/QG4/QG5: Standard archiving and labeling of project documents is followed.
Special requirements (e.g. customer requirement) are met in relation to the archiving and labeling of the documents
Configuration audit conducted with postive result. All the action items closed
A baseline has been created and a check has been done that the baseline is complete in terms of the configuration items defined.
All documents which are used as evidence for the QG assessment must be collected and stored together with the QG documents. (alternative: mention the documents in the QG assessment: file name and version date yyyy-mm-dd, store as write-protected versions)
It is defined which configuration items are relevant for the Delivery/ Release. Thereof a baseline is created and the completeness of the baseline is ensured. It shall be clear which baseline is relevant for the QG and Configuration Audit is conducted for the same. Deviations found if any, are closed</t>
  </si>
  <si>
    <t xml:space="preserve">Azure GitHub is used as code repository
Azure DevOps is used for Story points 
Project Plan of the configuaration Management to be updated.
</t>
  </si>
  <si>
    <t>On Spec: Compliance / Risk (OS-R)</t>
  </si>
  <si>
    <t>CDQ 1.15
CDQ 8.3</t>
  </si>
  <si>
    <t>13</t>
  </si>
  <si>
    <t>SW</t>
  </si>
  <si>
    <t xml:space="preserve">Third party software (Supplied SW, COTS, etc)  handled effectively (used for development or included as part of deliverable)
SW ordered by means of a specification document was accepted on the basis of the specification document. 
The supplied components integrated successfully. Any risks foreseen. If yes, addressed effectively
</t>
  </si>
  <si>
    <t>Third party Software includes freeware / shareware /commercially purchased SW / customer supplied SW)
QG0: Plan for any requirement for Third Party SW or COTS.
If the Licenses are already planned and procured,
 -License Agreement and Purchase Order with vendor available  
 -Details on no. of licenses purchased and being used is documented in the proview template.
 -Review and approval of third party SW license terms and conditions in a commercially procured third party SW is done together with C/LSR-IN team
 -Approval available from management (applicable based on Direct or Indirect area) for Third party SW usage
 - Customer approval for the third party usage (Not required for Organization Products)
 -Risks wrt Third party SW or COTS SW(Commercially Off The Shelf SW) are identified and addressed in Risk plan
QG4: The Third Party SW components integrated successfully. Any risks foreseen, have been addressed effectively
- Any requirements as part of License agreement are taken care of (Ex: License reporting, Vendor audits, etc.,)
- Third-party software license information Record
- For Organization Products, whether SW BoM(Bill of Materials) is passed on to product department
- If the third-party software contains OSS, clearance as per OSS process
- Any SW as a service or as a deliverable to customer, Third party SW license information is included as part of release notes</t>
  </si>
  <si>
    <r>
      <t xml:space="preserve">As of now no requirement for third part software., checked and confirmed by the Solution Architect and Developers
</t>
    </r>
    <r>
      <rPr>
        <b/>
        <sz val="10"/>
        <rFont val="Arial"/>
        <family val="2"/>
      </rPr>
      <t>Email confirmation from Developers</t>
    </r>
  </si>
  <si>
    <t>On Spec: Purchasing (OS-P)</t>
  </si>
  <si>
    <t>CDQ 8.2</t>
  </si>
  <si>
    <t>14</t>
  </si>
  <si>
    <t>8 Procurement/ external procurement</t>
  </si>
  <si>
    <t>The necessary bought-in products and services have the necessary maturity.</t>
  </si>
  <si>
    <t>All the purchased SW meets the intended requirements 
eg. SW used for testing, Released components, approved vendors, etc</t>
  </si>
  <si>
    <t>Purchasing</t>
  </si>
  <si>
    <t>On Spec: Specification (OS-S)</t>
  </si>
  <si>
    <t>CDQ 2.2</t>
  </si>
  <si>
    <t>15</t>
  </si>
  <si>
    <t>2 Requirements management</t>
  </si>
  <si>
    <t>The market requirements are known; 
Competition analysis / benchmark taken into account.</t>
  </si>
  <si>
    <t>Applicable for Org level SW Products only
Market requirements (including the technological standards in relation to product liability) are known.
In case of any competitors, is competition analysis done and ensured that there is market for this product</t>
  </si>
  <si>
    <t>Sales</t>
  </si>
  <si>
    <t>CDQ 2.10</t>
  </si>
  <si>
    <t>16</t>
  </si>
  <si>
    <t>The customer (product) requirements are agreed for the project.</t>
  </si>
  <si>
    <t>QG0: Customer requirements are available and signed off by the authorized person / customer as applicable
QG4: In case of any changes to requirements, are they updated and signed off</t>
  </si>
  <si>
    <t xml:space="preserve">The SOW document gives an overview of the customer requirements
</t>
  </si>
  <si>
    <t>CDQ 2.7</t>
  </si>
  <si>
    <t>17</t>
  </si>
  <si>
    <t xml:space="preserve">UX-relevance has been evaluated and UX activities are planned and implemented.
</t>
  </si>
  <si>
    <t>QG0: Evaluate UX relevance using UX Check Tool along with UX team (BGSW/NE-ME-UX-Enabling). In case of High or Medium evaluation output, UX activities are planned. (Email from UX team on accepting the output of the UX check Tool)
QGR/QG4: All relevant UX activities are implemented as planned, ensuring compliance to Bosch UX guidelines
Refer "Plan for User Experience (UX)" activity in "Project Planning" Procedure</t>
  </si>
  <si>
    <t>To be discussed with UX Relavant team</t>
  </si>
  <si>
    <t>CDQ 2.4</t>
  </si>
  <si>
    <t>18</t>
  </si>
  <si>
    <t xml:space="preserve">Statutory (legal) / official requirements / restrictions and regulations are known and have been taken into account.
</t>
  </si>
  <si>
    <r>
      <t>This measurement criterion can be marked as "NA" only with a valid justification.
QG0: Plan for certification is available. List of certifications is identified. technical legal requirements such as legal requirements of the target market. Competitive analysis considered.
QGR/QG4: All pre-requisites required for certification are completed successfully. C/LSR-IN team is kept 'Informed' of the status.</t>
    </r>
    <r>
      <rPr>
        <sz val="10"/>
        <color theme="1"/>
        <rFont val="Arial"/>
        <family val="2"/>
      </rPr>
      <t xml:space="preserve">
In case of doubt, contact C/LSR-IN for any applicable requirements</t>
    </r>
  </si>
  <si>
    <t xml:space="preserve">Legal discussions initiated with C/LSR team during 13th Oct-23. </t>
  </si>
  <si>
    <t>CDQ 2.5 
CDQ 4.2
CDQ 4.8</t>
  </si>
  <si>
    <t>19</t>
  </si>
  <si>
    <t xml:space="preserve">Requirements for product safety are known and have been taken into account.
The current risk assessment in relation to product safety is available and has been confirmed.
All safety related requirements are tested and errors are eliminated.
</t>
  </si>
  <si>
    <r>
      <t xml:space="preserve">This measurement criterion can be marked as "NA" only with a valid justification.
Industry-specific standards are to be observed
Customer or market specific safety requirements identified
QG0:  (i) Relevance to the project is confirmed. Considered in target specifications. Measures and plan defined.
</t>
    </r>
    <r>
      <rPr>
        <sz val="10"/>
        <color theme="1"/>
        <rFont val="Arial"/>
        <family val="2"/>
      </rPr>
      <t xml:space="preserve">(ii) In case of Software Update management (Over-the-Air), Software and associated metadata (includes pre and post conditions,compatibility infomation etc.) release for target system is identified and understood. </t>
    </r>
    <r>
      <rPr>
        <sz val="10"/>
        <rFont val="Arial"/>
        <family val="2"/>
      </rPr>
      <t xml:space="preserve">
QGR/QG4: Progress of measures according to plan is confirmed and implementation is proven 
SW-QGR:  if necessary, releases  incl. risk assessment regarding road-worthiness
CD00214 Requirements for product safety
CGP 01901-782 product monitoring</t>
    </r>
  </si>
  <si>
    <t xml:space="preserve">Not applicable for this project, talk to the respective team handling HARA and get an email confirmation.
</t>
  </si>
  <si>
    <t>CDQ 2.3
RBEI 2.1</t>
  </si>
  <si>
    <t>20</t>
  </si>
  <si>
    <t>Any product liability problems possible?
The current "State of the art" in the market are assessed and taken into account in relation to product liability.
Safeguards in place for any possible product liability problems</t>
  </si>
  <si>
    <t>This measurement criterion can be marked as "NA" only with a valid justification.
For SW products which are not owned by Organization, check the agreement with customer if a clause on product liability is agreed
QG0: The contract is reviewed by C/LSR and documented required disclaimers
Discussions for insurance coverage initiated
State-of-the-art, see CGP 01901-783</t>
  </si>
  <si>
    <r>
      <t xml:space="preserve">Discussed with CAC team on 11th Oct-23 and Minutes are stored in the server
</t>
    </r>
    <r>
      <rPr>
        <b/>
        <i/>
        <sz val="10"/>
        <rFont val="Arial"/>
        <family val="2"/>
      </rPr>
      <t>Link to be updated</t>
    </r>
    <r>
      <rPr>
        <sz val="10"/>
        <rFont val="Arial"/>
        <family val="2"/>
      </rPr>
      <t xml:space="preserve">
Legal check to be done and point to be discussed with C/LSR</t>
    </r>
  </si>
  <si>
    <t>CDQ 2.1
CDQ 2.8
CDQ 2.11</t>
  </si>
  <si>
    <t>21</t>
  </si>
  <si>
    <t>The specifications document (internal requirements) is complete and has been reviewed / confirmed.
All functional, non-functional,  performance requirements (internal and/or from customer) that are relevant for the product approval / the release or for the QG  as well as their acceptance criteria are defined / fulfilled.</t>
  </si>
  <si>
    <t>Includes Functional, Non-Functional, Performance, Quality, Implicit, Explicit requirements
Review records available
QG0: Requirements are documented. 
QGR/QG4: Requirements are achieved</t>
  </si>
  <si>
    <r>
      <t xml:space="preserve">Yes the requirement is planned in T&amp;R tool and ADO (Customer tool) does not have requirements captured. 
</t>
    </r>
    <r>
      <rPr>
        <b/>
        <sz val="10"/>
        <rFont val="Arial"/>
        <family val="2"/>
      </rPr>
      <t>Link to be updated</t>
    </r>
  </si>
  <si>
    <t>CDQ 2.13</t>
  </si>
  <si>
    <t>22</t>
  </si>
  <si>
    <t xml:space="preserve">Requirements in relation to product development code are known and have been taken into account.
</t>
  </si>
  <si>
    <t>This measurement criterion can be marked as "NA" only with a valid justification.
QG0: Initiate and plan review with BGSW-CAC team (Compliance Advisory Committee) by raising a request using outlook email request template (Email addressed to BGSW/CAC-Team &lt;Bani_BGSW_CAC@bcn.bosch.com&gt;). 
Completed Product Development Code training by all members of the project
QGR/QG4: CAC review completed. Recorded Mintues of the discussion available, clearly indicating compliance to RBGF182 
Legality and Bosch values;
Developing functions for Cycle / Test Recognition is not permitted
the warranted characteristics are met, human life is protected to the greatest possible extent;
Optimization purely to the cycle is not permitted.
RBGF182 product development code</t>
  </si>
  <si>
    <t>Discussed with CAC team on 11th Oct-23 and Minutes will be stored in the server</t>
  </si>
  <si>
    <t xml:space="preserve">CDQ 2.6
</t>
  </si>
  <si>
    <t>23</t>
  </si>
  <si>
    <t>Information security requirements are known and have been taken into account.
All security-related requirements are tested and errors are eliminated</t>
  </si>
  <si>
    <t>This measurement criterion can be marked as "NA" only with a valid justification.
The below points are indicative w.r.t. product maturity, however, the specific activities to be completed at a particular QG level is determined on discussion with ProSO
QG0: Security relevance assessments carried out, reviewed by the ProSO
If Security is relevant*,
1. competent security manager to be identified
2. Initiate preparation of Customer Cyber Security Agreement (CCA) 
3. Initiate preparation of Cyber Security Requirements Interface (CRI) must capture and document CS requirements from other domains like Safety, Data Protection
4. Initiate preparation of Supplier Agreements on Cyber Security (SAC) Document
5. Initiate preparation of Threat and Risk Analysis (including residual risks) and Security Concept to be prepared.
6. Initiate preparation of Security Impact analysis to be prepared [for projects based on platforms and previous versions] 
7. Initiate preparation of State of the art for cyber security
8. Initiate preparation of Security Testing concept &amp; Penetration testing to be planned.
9. Identify Security coding guideline and Static code analysis tool
10. Initiate Secure Implementation Concept
11. Budget and Resource Plan for SEP Activities
12. WBT ISP042 to be completed by all members 
QG4/QGR:
1. Finalized Security Monitoring,  Security Vulnerability Management documentation, Security Incident management and Security changes based on the responsibility for operations.
2. Finalize versions of all SEP artifacts initiated in in earlier QGs.
3. Static code analysis report reviewed by the ProSO for vulnerabilities  
4. Review of testing related to CS requirements
5. Recent vulnerability scan and fixing of issues
6. Penetration Test Report (Penetration testing issues are closed)
7. Identified team to take up the responsibilities of managing cyber security posture during "Operations"
SEP process in Proview, Bosch Standard CD700 Security Engineering Process;
CD02900 Information Security and Privacy.</t>
  </si>
  <si>
    <t xml:space="preserve">QG0: Security relevance assessments carried out, reviewed by the ProSO
If Security is relevant*,
1. competent security manager to be identified :-Yes/Satish C Bhatt/Trained PSECM as defined in CD7000
2. Initiate preparation of Customer Cyber Security Agreement (CCA) :- Part of Agreement with customer kindly share with me too 
3. Initiate preparation of Cyber Security Requirements Interface (CRI) must capture and document CS requirements from other domains like Safety, Data Protection Customer Cyber Security requirements Kindly share 
4. Initiate preparation of Supplier Agreements on Cyber Security (SAC) Document Supplier in scope or not ?If yes security documents of supplier needed
5. Initiate preparation of Threat and Risk Analysis (including residual risks) and Security Concept to be prepared. Started 
6. Initiate preparation of Security Impact analysis to be prepared [for projects based on platforms and previous versions] Started 
7. Initiate preparation of State of the art for cyber security Started 
8. Initiate preparation of Security Testing concept &amp; Penetration testing to be planned. planned &amp; Will be Done after implementation
9. Identify Security coding guideline and Static code analysis tool EISA &amp; cloud best practices  /Sonarcube 
10. Initiate Secure Implementation Concept Planned 
11. Budget and Resource Plan for SEP Activities Planned 
12. WBT ISP042 to be completed by all members  Status </t>
  </si>
  <si>
    <t>CDQ 4.9</t>
  </si>
  <si>
    <t>24</t>
  </si>
  <si>
    <t xml:space="preserve">Data Protection requirements are known and have been taken into account.
</t>
  </si>
  <si>
    <t>This measurement criterion can be marked as "NA" only with a valid justification.
The below points are indicative w.r.t. product maturity, however, the specific activities to be completed at a particular QG level is determined on discussion with BGSW/DSO
QG0: 
• Data Protection (DP) relevance assessments carried out, reviewed by DSO respectively and approved by Sponsor.
- If data protection is relevant, Data security partner in engineering (DSPiE)to be identified. 
• Filled DP checklist is reviewed with DSO and approved by Sponsor. 
• Budget and Resource Plan for DP Activities
• Team should be aware of country specific data protection laws - Training reference in TrainM: ISP002-xx (xx is country short code)
C/LSR-IN team is 'Informed' if any data is collected and if any data protection obligations apply.
QGR:
- DP checklist is updated (for SW products - till QG3), reviewed by BGSW/DSO and approved by Sponsor
QG4: 
• DP checklist is updated, reviewed by BGSW/DSO and approved by Sponsor
CD02900 Information Security and Privacy.</t>
  </si>
  <si>
    <t>DSO is Identified and the project is initiated for Data security</t>
  </si>
  <si>
    <t>25</t>
  </si>
  <si>
    <t>The traceability of the product is defined / secured.</t>
  </si>
  <si>
    <t>Engineering Traceability is defined, maintained and complete</t>
  </si>
  <si>
    <t>Engineering</t>
  </si>
  <si>
    <t>CDQ 2.9
CDQ 12.7</t>
  </si>
  <si>
    <t>26</t>
  </si>
  <si>
    <t>Service, maintenance and diagnostics concepts have been drawn up. SW support required subsequent to approval and regulated as necessary.</t>
  </si>
  <si>
    <t>QG0: If AMC is being provided, then, AMC terms are covered as part of master agreement or separate agreement. Concept for service and maintenance (for the developed product) is available, updated and confirmed. Plan for product training is available. Plan for creation of User, Project, Service manual is available
QG4: Concept is implemented / introduced. Customer support team for service and maintenance is set up, as required. Approved product training material and Necessary infrastructure in place. Manuals created, approved and released
Service manual / User manual</t>
  </si>
  <si>
    <t xml:space="preserve">AMC is not available for this MVP. Six months post release of the software, support is applicable. SOW Uploaded in PROMISE
</t>
  </si>
  <si>
    <t>CDQ 3.2</t>
  </si>
  <si>
    <t>27</t>
  </si>
  <si>
    <t>3 Product development</t>
  </si>
  <si>
    <t xml:space="preserve">Patent search complete and evaluated:
Is the product free from third party property rights? 
Are internal inventions registered for industrial property rights?
</t>
  </si>
  <si>
    <t xml:space="preserve">QG0: Patent search initiated and request for FTO submitted to BGSW/EIP team. Discussion with EIP for checking possibility of filing invention reports. Necessary invention reports submitted to BGSW/EIP post evaluation by Dept. IP Coordinator
QGR/QG4: Freedom to operate (FTO) document from BGSW/EIP available. Necessary patents are filed. </t>
  </si>
  <si>
    <t>Discussion initiated with FTO team</t>
  </si>
  <si>
    <t>CDQ 3.1</t>
  </si>
  <si>
    <t>28</t>
  </si>
  <si>
    <t>BES-PE maturity is verified</t>
  </si>
  <si>
    <t>Moderated BES-PE assessment checklist is used for evaluation which is moderated by BES-PE expert or coach or architect (who has undergone necessary trainings). The rating of the same should be taken towards this point
The level of implementation required for the "basic PE requirement" has been achieved, recognized gaps have been assessed in terms of risks.  Risk assessment, Measures have been defined.</t>
  </si>
  <si>
    <t>BES PE assesment support needed for the Project, discussion initiated Koshy Benny</t>
  </si>
  <si>
    <t>On Spec: Verification / Validation (OS-V)</t>
  </si>
  <si>
    <t>CDQ 3.4
CDQ 13.1</t>
  </si>
  <si>
    <t>29</t>
  </si>
  <si>
    <t xml:space="preserve">Product architecture and design available and applicable rules are adhered to.
The interaction of the components is analyzed and assured. 
The critical computer resources are identified, measured, tracked and are in control
</t>
  </si>
  <si>
    <t>System architecture / design, HW and Mech design is available, reviewed and baselined. Review reports available. 
In case of any changes in the design updated
The effective relationships between the components (mechanism, HW, SW) have been analyzed and taken into account in development.
QG4: Changes are incorporated
Interfaces of product to external environment or connected products is established and proven</t>
  </si>
  <si>
    <t>System architecture diagram is available and uploaded in sharepoint 
https://inside-share-hosted-apps.bosch.com/DMS/GetDocumentService/Document.svc/GetDocumentURL?documentID=P15S170185-808998765-624.</t>
  </si>
  <si>
    <t>Engineering / PM</t>
  </si>
  <si>
    <t>CDQ 4.4</t>
  </si>
  <si>
    <t>30</t>
  </si>
  <si>
    <t>4 Product validation</t>
  </si>
  <si>
    <t xml:space="preserve">FAA/ATAM/FMEA is in place, up-to-date and confirmed.
</t>
  </si>
  <si>
    <r>
      <rPr>
        <b/>
        <sz val="10"/>
        <color theme="1"/>
        <rFont val="Arial"/>
        <family val="2"/>
      </rPr>
      <t>SW as a Product (Non-embedded):</t>
    </r>
    <r>
      <rPr>
        <sz val="10"/>
        <color theme="1"/>
        <rFont val="Arial"/>
        <family val="2"/>
      </rPr>
      <t xml:space="preserve">
QG0: Plan for FAA/ATAM. FAA/ATAM Moderator is identified. Product requirements, Software architecture are available.
QGR: FAA/ATAM is updated for current SW release. 
QG4: FAA/ATAM is completed and current version is approved. All measures are verified. FAA/ATAM final approved version is stored in Project Configuration management tool
All versions of FAA/ATAM is approved by PM, MLM, Key Account QA Head.
</t>
    </r>
    <r>
      <rPr>
        <b/>
        <sz val="10"/>
        <color theme="1"/>
        <rFont val="Arial"/>
        <family val="2"/>
      </rPr>
      <t>SW as a Component:</t>
    </r>
    <r>
      <rPr>
        <sz val="10"/>
        <color theme="1"/>
        <rFont val="Arial"/>
        <family val="2"/>
      </rPr>
      <t xml:space="preserve">
QG0: Plan for FMEA. FMEA contracting document filled and signed/approved by respective PM and Moderator. Structure is created in IQRM tool.
SW QGR corresponding to System QG1: Function and Failure net is created. Measures with responsibility and due date are identified. The first version with a signed coversheet is available 
SW QGR corresponding to System QG2: All measures are completed and finalized. Open measures due to customer specific items may be open. 
SW QGR corresponding to System QG3: FMEA is up to date
SW QGR corresponding to System QG4 or Platform QGP2: FMEA is completed and current version is signed. All measures are verified. FMEA is stored in Configuration management tool (Final FMEA edition release)
QG5: FMEA is up to date (based on field experience)</t>
    </r>
  </si>
  <si>
    <t>Moderator identified and FAM document discussions will be set up</t>
  </si>
  <si>
    <t>RBEI 13.2</t>
  </si>
  <si>
    <t>31</t>
  </si>
  <si>
    <t>13 Development rules</t>
  </si>
  <si>
    <t xml:space="preserve">Applicable coding standards are followed and code reviewed. Static Code Analysis report available and all critical warnings resolved. </t>
  </si>
  <si>
    <t>QGR/QG4: applicable coding standards and code analysis tools identified and used. Code review done, issues closed and records available. Static code analysis report should be available with all the critical warnings identified and resolved.
In case of any critical warnings not resolved, then approval by Architect for go ahead is available</t>
  </si>
  <si>
    <t>CDQ 14.1</t>
  </si>
  <si>
    <t>32</t>
  </si>
  <si>
    <t>14 Re-use</t>
  </si>
  <si>
    <t>The quality of re-used software has been examined and adapted as necessary.</t>
  </si>
  <si>
    <t xml:space="preserve">QG0: Define which software is to be re-used and which open points are known.
QGR/QG4: The elimination of open points is defined and re-used software will be modified as necessary </t>
  </si>
  <si>
    <t xml:space="preserve">No third party softwares are used for reusing it.
</t>
  </si>
  <si>
    <t>CDQ 1.14</t>
  </si>
  <si>
    <t>33</t>
  </si>
  <si>
    <t>It is verifiably known whether the product contains Open Source software, including externally supplied software, and what software is involved. 
The licensing conditions for all Open Source and proprietary software components are adhered to.</t>
  </si>
  <si>
    <t>QG0: Decision wrt usage of OSS components is available.  Plan wrt frequency of OSS check aligned with development milestones, cost assignment for OSS support, agreement with OSS scan team for the required support, etc., are available. In case of usage of externally supplied software, terms and conditions wrt OSS handling has to be contractually agreed 
QGR: SW scan completed. OSS scan report is available (output of Blackduck tool) giving a list of OSS components. OSS components are used in the intended way (eg. no usage of GPL, handling of license text, etc). OSS Disclosure document is accompanied along with release. 
QG4: Scan must have been performed. Approval from OSS officer is obtained. OSS Disclosure document is accompanied along with release.</t>
  </si>
  <si>
    <t>OSS scan plan is in progress and is in discussion with Nagarajan</t>
  </si>
  <si>
    <t>OSS Initiated with Nagarajan Ganeshan</t>
  </si>
  <si>
    <t>24th Oct-23</t>
  </si>
  <si>
    <t xml:space="preserve">CDQ 4.1
CDQ 4.10
CDQ 4.6
CDQ 4.7
</t>
  </si>
  <si>
    <t>34</t>
  </si>
  <si>
    <r>
      <rPr>
        <sz val="10"/>
        <color theme="1"/>
        <rFont val="Arial"/>
        <family val="2"/>
      </rPr>
      <t>Are different levels of tests completed as planned?</t>
    </r>
    <r>
      <rPr>
        <sz val="10"/>
        <rFont val="Arial"/>
        <family val="2"/>
      </rPr>
      <t xml:space="preserve">
The agreed and defined test strategy is implemented and the results are found to be okay. 
Errors / open items / "known issues" have been evaluated and dealt with.</t>
    </r>
  </si>
  <si>
    <t>QG0: Tests are planned (as agreed in contract)
QGR/QG4: (i) Test specifications are available for various tests as planned. Various levels of tests are implemented as per plan. Test defects are closed. Test reports are available
(ii) In case of Software Update management (Over-the-Air), Results for OTA updated S/w test on-field should be available (Acknowledgement from OEM during on-field test)
All errors or open items are closed. If no, then are the known issues communicated with the customer and agreed with customer.</t>
  </si>
  <si>
    <t>Testing plan to be defined and aligned with customer.
Differnet type of test cases needs to be identifed and aligned</t>
  </si>
  <si>
    <t>Test plan to be submitted</t>
  </si>
  <si>
    <t>Swetha</t>
  </si>
  <si>
    <t>CDQ 10.1
CDQ 10.2</t>
  </si>
  <si>
    <t>36</t>
  </si>
  <si>
    <r>
      <t>10 Change management</t>
    </r>
    <r>
      <rPr>
        <sz val="10"/>
        <color rgb="FFFF0000"/>
        <rFont val="Arial"/>
        <family val="2"/>
      </rPr>
      <t xml:space="preserve"> </t>
    </r>
  </si>
  <si>
    <t>Change management is agreed with the customer and supplier and is adhered to
The requirements are checked for changes, any impact is taken into account and communicated within the supply chain.</t>
  </si>
  <si>
    <t>Change management agreed with the customer and is adhered to
Impact analysis due to changed requirements is considered, like effects on planning (deadlines, resources) and target achievement forecast</t>
  </si>
  <si>
    <t xml:space="preserve">The change reuirements will be tracked seperately as change request and available in PP.
</t>
  </si>
  <si>
    <t>Purchasing / Sales</t>
  </si>
  <si>
    <t>CDQ 12.1
CDQ12.7</t>
  </si>
  <si>
    <t>37</t>
  </si>
  <si>
    <t>12 Series validation</t>
  </si>
  <si>
    <t>Complaints management planned and secured. SW support required subsequent to approval and regulated as necessary.</t>
  </si>
  <si>
    <r>
      <rPr>
        <b/>
        <sz val="10"/>
        <color theme="1"/>
        <rFont val="Arial"/>
        <family val="2"/>
      </rPr>
      <t>Applicable only for SW Product</t>
    </r>
    <r>
      <rPr>
        <sz val="10"/>
        <color theme="1"/>
        <rFont val="Arial"/>
        <family val="2"/>
      </rPr>
      <t xml:space="preserve">
Complaint management process (A mechanism for receiving, handling and resolution of customer complaints) is  established
Infrastructure is ready depending on the project/product (in case of 3rd party vendor managing complaints and claims ensure everything is ready)</t>
    </r>
  </si>
  <si>
    <t>Customer complaint management is available in Kick off slides and will be used during the development of the project as per the need. The User manual will have common ID to support for customer on Issues or complaints.</t>
  </si>
  <si>
    <t>-</t>
  </si>
  <si>
    <t>RBEI</t>
  </si>
  <si>
    <t>38</t>
  </si>
  <si>
    <t>General</t>
  </si>
  <si>
    <t>Any other topics which might affect the project but not discussed above</t>
  </si>
  <si>
    <t>Discuss missed out topics, if any</t>
  </si>
  <si>
    <t>All stakeholders</t>
  </si>
  <si>
    <t>QG Approval Form</t>
  </si>
  <si>
    <t>Click on "PDF" icon to generate PDF</t>
  </si>
  <si>
    <t>Project ID_Name</t>
  </si>
  <si>
    <t>QG ID</t>
  </si>
  <si>
    <t>Project Manager</t>
  </si>
  <si>
    <t>QG Moderation Date</t>
  </si>
  <si>
    <t>QG Rating</t>
  </si>
  <si>
    <t>Q. No.</t>
  </si>
  <si>
    <t>Rating</t>
  </si>
  <si>
    <t xml:space="preserve">Responsibility </t>
  </si>
  <si>
    <t>Due Date (dd-mmm-yy)</t>
  </si>
  <si>
    <t>Major Risks resulting from Deviations</t>
  </si>
  <si>
    <t>Focus area</t>
  </si>
  <si>
    <t>Red</t>
  </si>
  <si>
    <t>Yellow</t>
  </si>
  <si>
    <t>Green</t>
  </si>
  <si>
    <t>Overall Rating</t>
  </si>
  <si>
    <t>% Green</t>
  </si>
  <si>
    <t>% of measurement criteria rated "G"</t>
  </si>
  <si>
    <t>% Yellow</t>
  </si>
  <si>
    <t>% of measurement criteria rated "Y"</t>
  </si>
  <si>
    <t>% Red</t>
  </si>
  <si>
    <t>% of measurement criteria rated "R"</t>
  </si>
  <si>
    <t xml:space="preserve">QG - Open Point List </t>
  </si>
  <si>
    <t>Start Date
(dd-mmm-yy)</t>
  </si>
  <si>
    <t>Due Date 
(dd-mmm-yy)</t>
  </si>
  <si>
    <t>Revised Due Date
(dd-mmm-yy)</t>
  </si>
  <si>
    <t xml:space="preserve">Closure Date
(dd-mmm-yy) </t>
  </si>
  <si>
    <t>Status</t>
  </si>
  <si>
    <t>Action taken</t>
  </si>
  <si>
    <t>Ageing</t>
  </si>
  <si>
    <t>Open</t>
  </si>
  <si>
    <t>Check and update the link</t>
  </si>
  <si>
    <t>Update the mail confirmation screenshot</t>
  </si>
  <si>
    <t>Link to be updated</t>
  </si>
  <si>
    <t>Blank Worksheet</t>
  </si>
  <si>
    <t>Document Status: Approved</t>
  </si>
  <si>
    <t>Approved by :</t>
  </si>
  <si>
    <t>Management Representative</t>
  </si>
  <si>
    <t>Released  by :</t>
  </si>
  <si>
    <t>QMS Documentation Controller</t>
  </si>
  <si>
    <t>Version No.</t>
  </si>
  <si>
    <t>Modifications</t>
  </si>
  <si>
    <t>Author</t>
  </si>
  <si>
    <t>Date</t>
  </si>
  <si>
    <t>Initial version - Adapted GSIS questionnaire for RBEI QG process. Added checkpoints from RBEI QMS.</t>
  </si>
  <si>
    <t>QAA1</t>
  </si>
  <si>
    <t>Added checkpoint for PDCL &amp; updated look-for  in Repair/Maintenance. Separate checklist sheet created for QG milestones</t>
  </si>
  <si>
    <t>Added checks for Contract &amp; PP approval and PIF creation at QGC0 and QGP0.</t>
  </si>
  <si>
    <t>Added check for Data Protection and Information Security in all QG worksheets</t>
  </si>
  <si>
    <t>Added risk fields in 'QG Approval' worksheet
Added BU Head as part of Review Board
Removed 'QA Responsible' from Review Board and added along with SQM to review QG and to identify risks due to critical issues
Removed unnecessary columns like 'Short', 'Sum', etc in all QG questionnaire worksheets
Removed redundant questions in all the checklists</t>
  </si>
  <si>
    <t>Removed test result related questions from QGC1 checklist. Changed the order of worksheets. Updated Doc ID as this checklist is moved to Common Processes</t>
  </si>
  <si>
    <t xml:space="preserve">Added: New revamped checklist (SW-QG worksheet) as per CDQ0304 - Nov-2016 revision 
Deleted: Individual worksheets of QGP and QGC. Risk release details. 
Modified: Cover sheet to include SW-QG details, Review board terminology, DH,SH,BU Head terminology
</t>
  </si>
  <si>
    <t>Updated: Look-fors and clubbed similar questions to optimize the checklist.
Removed QAM question as it is not mandatory as per CDQ</t>
  </si>
  <si>
    <t>Updated: OSS question in QG0. Patent question in QG4. Modified look for of Static code question</t>
  </si>
  <si>
    <t>Updated: Look-for of BES-PE question (Question-CDQ 3.1). Removed self-assessment and updated as moderated assessment</t>
  </si>
  <si>
    <t>Clubbed related questions(eg. Change management, Project schedule etc).
Added Product Development Code question. Added look-fors and references as per Nov-17 release to CDQ QG checklist
Added a macro in 'QG Approval Form' to automatically update critical issues identified in 'SW_QG' worksheet</t>
  </si>
  <si>
    <t>Added: 
- Focus Area (input from CDQ checklist). 
- OPL worksheet
- "Create PDF" Button
- "Update" Button
- Autocomputation of overall QG Rating
- Q. 1.3, 3.2 in all the QGs
Modified: 
- Look-fors of Q.No.s - 1.12, 2.6, 2.9, 2.11,  3.2, 3.2 (align to CDQ0304 checklist changes and internal requirements)
- Content in Cover sheet and QG approval form. 
- Measurement criteria related to IS&amp;DP,  Safety, liability, legal and official requirements and Product development code should not be marked as "NA" (as per CDQ0304)</t>
  </si>
  <si>
    <t>Updated look-for of Information security and Data protection criterion due to changes in SEP process</t>
  </si>
  <si>
    <t>Added:
- Rating column in "QG Approval" worksheet and appropriately modified macro</t>
  </si>
  <si>
    <r>
      <rPr>
        <b/>
        <sz val="10"/>
        <rFont val="Arial"/>
        <family val="2"/>
      </rPr>
      <t>Modified:</t>
    </r>
    <r>
      <rPr>
        <sz val="10"/>
        <rFont val="Arial"/>
        <family val="2"/>
      </rPr>
      <t xml:space="preserve">
- Question sequence
- Split IS and DP questions
- Moved general details like Project ID, name etc to cover sheet
</t>
    </r>
    <r>
      <rPr>
        <b/>
        <sz val="10"/>
        <rFont val="Arial"/>
        <family val="2"/>
      </rPr>
      <t xml:space="preserve">Added:
</t>
    </r>
    <r>
      <rPr>
        <sz val="10"/>
        <rFont val="Arial"/>
        <family val="2"/>
      </rPr>
      <t xml:space="preserve">Reference to Project Cost Estimation Template for Cost related check point
- Reference to UX team and approval
</t>
    </r>
    <r>
      <rPr>
        <b/>
        <sz val="10"/>
        <rFont val="Arial"/>
        <family val="2"/>
      </rPr>
      <t/>
    </r>
  </si>
  <si>
    <r>
      <rPr>
        <b/>
        <sz val="11"/>
        <color theme="1"/>
        <rFont val="Arial"/>
        <family val="2"/>
      </rPr>
      <t>Removed:</t>
    </r>
    <r>
      <rPr>
        <sz val="11"/>
        <color theme="1"/>
        <rFont val="Arial"/>
        <family val="2"/>
      </rPr>
      <t xml:space="preserve">
-Project structure and project plan question in QGR and QG4.
- reference to Project cost estimation template
-Dev Order no., Part number, Plant, RBEI and Customer SOP details in Coversheet as it is not applicable for SW
-Removed Manufacturing focus areas in QG approval form as it is not applicable for SW
- modified update button text and moved to SW_QG worksheet. Moved create pdf button to QG approval worksheet
Fixed: issue with Category table in "QG Approval" worksheet</t>
    </r>
  </si>
  <si>
    <r>
      <rPr>
        <b/>
        <sz val="11"/>
        <color theme="1"/>
        <rFont val="Arial"/>
        <family val="2"/>
      </rPr>
      <t>Added:</t>
    </r>
    <r>
      <rPr>
        <sz val="11"/>
        <color theme="1"/>
        <rFont val="Arial"/>
        <family val="2"/>
      </rPr>
      <t xml:space="preserve">
- Look-fors for better clarity based on discussions with various stakeholders (projects, patenting, legal, FMEA, IS &amp; DP, C/AU audit, etc) and learnings from conducting QGs
- Place holder to document risks due to deviations
</t>
    </r>
    <r>
      <rPr>
        <b/>
        <sz val="11"/>
        <color theme="1"/>
        <rFont val="Arial"/>
        <family val="2"/>
      </rPr>
      <t xml:space="preserve">Modified:
</t>
    </r>
    <r>
      <rPr>
        <sz val="11"/>
        <color theme="1"/>
        <rFont val="Arial"/>
        <family val="2"/>
      </rPr>
      <t>- Column headings modified in QG_Approval and OPL worksheets to align to QG checklist worksheet
- Automotive and Non-Automotive differentiation in FMEA checkpoint and rephrased as Product / Component FMEA</t>
    </r>
  </si>
  <si>
    <r>
      <rPr>
        <b/>
        <sz val="10"/>
        <color theme="1"/>
        <rFont val="Arial"/>
        <family val="2"/>
      </rPr>
      <t>Added:</t>
    </r>
    <r>
      <rPr>
        <sz val="10"/>
        <color theme="1"/>
        <rFont val="Arial"/>
        <family val="2"/>
      </rPr>
      <t xml:space="preserve">
- % of R, Y, and G based on measurement criteria, in approval worksheet
- resource availability point as part of project budget measurement criterion and relevant look-for
</t>
    </r>
    <r>
      <rPr>
        <b/>
        <sz val="10"/>
        <color theme="1"/>
        <rFont val="Arial"/>
        <family val="2"/>
      </rPr>
      <t>Modified:</t>
    </r>
    <r>
      <rPr>
        <sz val="10"/>
        <color theme="1"/>
        <rFont val="Arial"/>
        <family val="2"/>
      </rPr>
      <t xml:space="preserve">
- Information security look-for
- Risks from Deviations as "Major" risks
</t>
    </r>
    <r>
      <rPr>
        <b/>
        <sz val="10"/>
        <color theme="1"/>
        <rFont val="Arial"/>
        <family val="2"/>
      </rPr>
      <t>Removed:</t>
    </r>
    <r>
      <rPr>
        <sz val="10"/>
        <color theme="1"/>
        <rFont val="Arial"/>
        <family val="2"/>
      </rPr>
      <t xml:space="preserve">
</t>
    </r>
    <r>
      <rPr>
        <sz val="10"/>
        <rFont val="Arial"/>
        <family val="2"/>
      </rPr>
      <t>- "QG Distribution Info" column in coversheet as this info is available in PROMISE
- Hidden "QG ID" and "Start Date" fields in OPL sheet as they are not required to be shown in that sheet</t>
    </r>
  </si>
  <si>
    <r>
      <rPr>
        <b/>
        <sz val="10"/>
        <color theme="1"/>
        <rFont val="Arial"/>
        <family val="2"/>
      </rPr>
      <t>Added:</t>
    </r>
    <r>
      <rPr>
        <sz val="10"/>
        <color theme="1"/>
        <rFont val="Arial"/>
        <family val="2"/>
      </rPr>
      <t xml:space="preserve">
- Field "Release Version No." in "Cover Sheet" worksheet
- Configuration audit look-for explicitly to Configuration Management check point</t>
    </r>
  </si>
  <si>
    <r>
      <rPr>
        <b/>
        <sz val="10"/>
        <color theme="1"/>
        <rFont val="Arial"/>
        <family val="2"/>
      </rPr>
      <t>Modified:</t>
    </r>
    <r>
      <rPr>
        <sz val="10"/>
        <color theme="1"/>
        <rFont val="Arial"/>
        <family val="2"/>
      </rPr>
      <t xml:space="preserve">
- Third party SW related check point in Supplied SW/COTS question. Based on CD03016</t>
    </r>
  </si>
  <si>
    <r>
      <rPr>
        <b/>
        <sz val="10"/>
        <color theme="1"/>
        <rFont val="Arial"/>
        <family val="2"/>
      </rPr>
      <t>Modified:</t>
    </r>
    <r>
      <rPr>
        <sz val="10"/>
        <color theme="1"/>
        <rFont val="Arial"/>
        <family val="2"/>
      </rPr>
      <t xml:space="preserve">
- Look for for Third party SW related check point in Supplied SW/COTS question</t>
    </r>
  </si>
  <si>
    <r>
      <t xml:space="preserve">Modified:
</t>
    </r>
    <r>
      <rPr>
        <sz val="10"/>
        <color theme="1"/>
        <rFont val="Arial"/>
        <family val="2"/>
      </rPr>
      <t>- Replaced RBEI with BGSW/BGSV or Organization/Org level as applicable
- Replace Project-work as Managed Services</t>
    </r>
    <r>
      <rPr>
        <b/>
        <sz val="10"/>
        <color theme="1"/>
        <rFont val="Arial"/>
        <family val="2"/>
      </rPr>
      <t xml:space="preserve">
- </t>
    </r>
    <r>
      <rPr>
        <sz val="10"/>
        <color theme="1"/>
        <rFont val="Arial"/>
        <family val="2"/>
      </rPr>
      <t>SEP Look for Changes</t>
    </r>
  </si>
  <si>
    <t>QMM-MC</t>
  </si>
  <si>
    <r>
      <t xml:space="preserve">Modified:
</t>
    </r>
    <r>
      <rPr>
        <sz val="10"/>
        <color theme="1"/>
        <rFont val="Arial"/>
        <family val="2"/>
      </rPr>
      <t>- Updated QG checklist to reflect FMEA approvers as in current FMEA process</t>
    </r>
  </si>
  <si>
    <r>
      <rPr>
        <b/>
        <sz val="10"/>
        <color theme="1"/>
        <rFont val="Arial"/>
        <family val="2"/>
      </rPr>
      <t>Added</t>
    </r>
    <r>
      <rPr>
        <sz val="10"/>
        <color theme="1"/>
        <rFont val="Arial"/>
        <family val="2"/>
      </rPr>
      <t>: Link to RASIC for location specific roles</t>
    </r>
  </si>
  <si>
    <t>QMM-ACS</t>
  </si>
  <si>
    <r>
      <rPr>
        <b/>
        <sz val="10"/>
        <color theme="1"/>
        <rFont val="Arial"/>
        <family val="2"/>
      </rPr>
      <t>Modified</t>
    </r>
    <r>
      <rPr>
        <sz val="10"/>
        <color theme="1"/>
        <rFont val="Arial"/>
        <family val="2"/>
      </rPr>
      <t>: FMEA Look for updated to include FAA/ATAM for SW Non-embedded Product</t>
    </r>
  </si>
  <si>
    <r>
      <rPr>
        <b/>
        <sz val="10"/>
        <color theme="1"/>
        <rFont val="Arial"/>
        <family val="2"/>
      </rPr>
      <t>Modified</t>
    </r>
    <r>
      <rPr>
        <sz val="10"/>
        <color theme="1"/>
        <rFont val="Arial"/>
        <family val="2"/>
      </rPr>
      <t>:  "Look for" updated to include Software Update management related changes</t>
    </r>
  </si>
  <si>
    <t>Legal</t>
  </si>
  <si>
    <t>Have checked and updated the link</t>
  </si>
  <si>
    <t>Closed</t>
  </si>
  <si>
    <t>All documents uploaded in sharepoint. It’s a standalone project. Kick off meeting documents are uploaded in the below link.
https://inside-share-hosted-apps.bosch.com/DMS/GetDocumentService/Document.svc/GetDocumentURL?documentID=P15S170185-808998765-619</t>
  </si>
  <si>
    <t>Updated the Kick off meeting link.</t>
  </si>
  <si>
    <t>Awaiting mail confirmation from Developers</t>
  </si>
  <si>
    <t>System architecture diagram is available and uploaded in sharepoint 
https://inside-share-hosted-apps.bosch.com/DMS/GetDocumentService/Document.svc/GetDocumentURL?documentID=P15S170185-808998765-624</t>
  </si>
  <si>
    <t>Updated the link</t>
  </si>
  <si>
    <t xml:space="preserve">No third party softwares are used for reusing it.
Should we consider SES as a software and reusing it?
Include SES Templates version.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</si>
</sst>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409]d\-mmm\-yy;@"/>
  </numFmts>
  <fonts count="31" x14ac:knownFonts="1">
    <font>
      <sz val="11"/>
      <color theme="1"/>
      <name val="Calibri"/>
      <family val="2"/>
      <scheme val="minor"/>
    </font>
    <font>
      <sz val="10"/>
      <color theme="1"/>
      <name val="Arial"/>
      <family val="2"/>
    </font>
    <font>
      <sz val="10"/>
      <color theme="1"/>
      <name val="Arial"/>
      <family val="2"/>
    </font>
    <font>
      <sz val="10"/>
      <name val="Arial"/>
      <family val="2"/>
    </font>
    <font>
      <b/>
      <sz val="14"/>
      <name val="Arial"/>
      <family val="2"/>
    </font>
    <font>
      <b/>
      <sz val="12"/>
      <name val="Arial"/>
      <family val="2"/>
    </font>
    <font>
      <sz val="10"/>
      <name val="Arial"/>
      <family val="2"/>
    </font>
    <font>
      <sz val="9"/>
      <name val="Arial"/>
      <family val="2"/>
    </font>
    <font>
      <b/>
      <sz val="10"/>
      <name val="Arial"/>
      <family val="2"/>
    </font>
    <font>
      <sz val="14"/>
      <name val="Arial"/>
      <family val="2"/>
    </font>
    <font>
      <sz val="10"/>
      <color indexed="10"/>
      <name val="Arial"/>
      <family val="2"/>
    </font>
    <font>
      <sz val="11"/>
      <name val="Arial"/>
      <family val="2"/>
    </font>
    <font>
      <sz val="10"/>
      <color indexed="17"/>
      <name val="Arial"/>
      <family val="2"/>
    </font>
    <font>
      <sz val="10"/>
      <color indexed="51"/>
      <name val="Arial"/>
      <family val="2"/>
    </font>
    <font>
      <sz val="9"/>
      <color indexed="81"/>
      <name val="Tahoma"/>
      <family val="2"/>
    </font>
    <font>
      <sz val="10"/>
      <color rgb="FFFF0000"/>
      <name val="Arial"/>
      <family val="2"/>
    </font>
    <font>
      <b/>
      <sz val="10"/>
      <color theme="1"/>
      <name val="Arial"/>
      <family val="2"/>
    </font>
    <font>
      <b/>
      <sz val="12"/>
      <color theme="1"/>
      <name val="Arial"/>
      <family val="2"/>
    </font>
    <font>
      <sz val="10"/>
      <color rgb="FF0070C0"/>
      <name val="Arial"/>
      <family val="2"/>
    </font>
    <font>
      <b/>
      <sz val="9"/>
      <color indexed="81"/>
      <name val="Tahoma"/>
      <family val="2"/>
    </font>
    <font>
      <sz val="10"/>
      <name val="Arial"/>
      <family val="2"/>
    </font>
    <font>
      <sz val="11"/>
      <name val="Calibri"/>
      <family val="2"/>
      <scheme val="minor"/>
    </font>
    <font>
      <b/>
      <sz val="14"/>
      <color theme="1"/>
      <name val="Calibri"/>
      <family val="2"/>
      <scheme val="minor"/>
    </font>
    <font>
      <sz val="11"/>
      <color theme="1"/>
      <name val="Arial"/>
      <family val="2"/>
    </font>
    <font>
      <b/>
      <sz val="16"/>
      <color rgb="FF000000"/>
      <name val="Segoe UI"/>
      <family val="2"/>
    </font>
    <font>
      <sz val="11"/>
      <color theme="1"/>
      <name val="Calibri"/>
      <family val="2"/>
      <scheme val="minor"/>
    </font>
    <font>
      <b/>
      <sz val="14"/>
      <color rgb="FF000000"/>
      <name val="Arial"/>
      <family val="2"/>
    </font>
    <font>
      <b/>
      <sz val="11"/>
      <color theme="1"/>
      <name val="Arial"/>
      <family val="2"/>
    </font>
    <font>
      <u/>
      <sz val="11"/>
      <color theme="10"/>
      <name val="Calibri"/>
      <family val="2"/>
      <scheme val="minor"/>
    </font>
    <font>
      <sz val="8"/>
      <name val="Calibri"/>
      <family val="2"/>
      <scheme val="minor"/>
    </font>
    <font>
      <b/>
      <i/>
      <sz val="10"/>
      <name val="Arial"/>
      <family val="2"/>
    </font>
  </fonts>
  <fills count="9">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theme="0" tint="-0.249977111117893"/>
        <bgColor indexed="64"/>
      </patternFill>
    </fill>
    <fill>
      <patternFill patternType="solid">
        <fgColor rgb="FF00B0F0"/>
        <bgColor indexed="64"/>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right/>
      <top style="medium">
        <color indexed="64"/>
      </top>
      <bottom/>
      <diagonal/>
    </border>
    <border>
      <left/>
      <right/>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8">
    <xf numFmtId="0" fontId="0" fillId="0" borderId="0"/>
    <xf numFmtId="0" fontId="3" fillId="0" borderId="0"/>
    <xf numFmtId="0" fontId="6" fillId="0" borderId="0"/>
    <xf numFmtId="0" fontId="6" fillId="0" borderId="0"/>
    <xf numFmtId="0" fontId="20" fillId="0" borderId="0"/>
    <xf numFmtId="0" fontId="3" fillId="0" borderId="0"/>
    <xf numFmtId="9" fontId="25" fillId="0" borderId="0" applyFont="0" applyFill="0" applyBorder="0" applyAlignment="0" applyProtection="0"/>
    <xf numFmtId="0" fontId="28" fillId="0" borderId="0" applyNumberFormat="0" applyFill="0" applyBorder="0" applyAlignment="0" applyProtection="0"/>
  </cellStyleXfs>
  <cellXfs count="178">
    <xf numFmtId="0" fontId="0" fillId="0" borderId="0" xfId="0"/>
    <xf numFmtId="164" fontId="8" fillId="0" borderId="4" xfId="2" applyNumberFormat="1" applyFont="1" applyBorder="1" applyAlignment="1">
      <alignment horizontal="center" vertical="top" wrapText="1"/>
    </xf>
    <xf numFmtId="164" fontId="8" fillId="0" borderId="4" xfId="2" applyNumberFormat="1" applyFont="1" applyBorder="1" applyAlignment="1">
      <alignment horizontal="left" vertical="top" wrapText="1"/>
    </xf>
    <xf numFmtId="0" fontId="8" fillId="2" borderId="5" xfId="2" applyFont="1" applyFill="1" applyBorder="1" applyAlignment="1">
      <alignment horizontal="center" vertical="top"/>
    </xf>
    <xf numFmtId="0" fontId="8" fillId="0" borderId="0" xfId="2" applyFont="1" applyAlignment="1">
      <alignment vertical="top"/>
    </xf>
    <xf numFmtId="0" fontId="3" fillId="0" borderId="1" xfId="0" applyFont="1" applyBorder="1" applyAlignment="1" applyProtection="1">
      <alignment horizontal="left" vertical="center" wrapText="1"/>
      <protection locked="0"/>
    </xf>
    <xf numFmtId="0" fontId="8" fillId="4" borderId="6" xfId="0" applyFont="1" applyFill="1" applyBorder="1" applyAlignment="1">
      <alignment wrapText="1"/>
    </xf>
    <xf numFmtId="0" fontId="16" fillId="4" borderId="1" xfId="3" applyFont="1" applyFill="1" applyBorder="1" applyAlignment="1" applyProtection="1">
      <alignment horizontal="left" vertical="center" wrapText="1"/>
      <protection locked="0"/>
    </xf>
    <xf numFmtId="0" fontId="8" fillId="4" borderId="1" xfId="3" applyFont="1" applyFill="1" applyBorder="1" applyAlignment="1" applyProtection="1">
      <alignment horizontal="left" vertical="center" wrapText="1"/>
      <protection locked="0"/>
    </xf>
    <xf numFmtId="0" fontId="8" fillId="4" borderId="2" xfId="3" applyFont="1" applyFill="1" applyBorder="1" applyAlignment="1" applyProtection="1">
      <alignment horizontal="left" vertical="center" wrapText="1"/>
      <protection locked="0"/>
    </xf>
    <xf numFmtId="0" fontId="2" fillId="0" borderId="0" xfId="0" applyFont="1" applyProtection="1">
      <protection locked="0"/>
    </xf>
    <xf numFmtId="49" fontId="16" fillId="4" borderId="1" xfId="0" applyNumberFormat="1" applyFont="1" applyFill="1" applyBorder="1" applyAlignment="1" applyProtection="1">
      <alignment horizontal="center" wrapText="1"/>
      <protection locked="0"/>
    </xf>
    <xf numFmtId="0" fontId="0" fillId="0" borderId="0" xfId="0" applyProtection="1">
      <protection locked="0"/>
    </xf>
    <xf numFmtId="0" fontId="16" fillId="4" borderId="1" xfId="0" applyFont="1" applyFill="1" applyBorder="1" applyAlignment="1">
      <alignment horizontal="center"/>
    </xf>
    <xf numFmtId="49" fontId="8" fillId="0" borderId="1" xfId="1" applyNumberFormat="1" applyFont="1" applyBorder="1" applyAlignment="1" applyProtection="1">
      <alignment horizontal="center" vertical="center" wrapText="1"/>
      <protection locked="0"/>
    </xf>
    <xf numFmtId="0" fontId="7" fillId="0" borderId="3" xfId="1" applyFont="1" applyBorder="1" applyAlignment="1" applyProtection="1">
      <alignment horizontal="center" vertical="top" wrapText="1"/>
      <protection locked="0"/>
    </xf>
    <xf numFmtId="0" fontId="9" fillId="0" borderId="3" xfId="1" applyFont="1" applyBorder="1" applyAlignment="1" applyProtection="1">
      <alignment horizontal="center" vertical="top" wrapText="1"/>
      <protection locked="0"/>
    </xf>
    <xf numFmtId="0" fontId="17" fillId="4" borderId="1" xfId="0" applyFont="1" applyFill="1" applyBorder="1" applyAlignment="1" applyProtection="1">
      <alignment vertical="center" wrapText="1"/>
      <protection locked="0"/>
    </xf>
    <xf numFmtId="0" fontId="16" fillId="4" borderId="1" xfId="0" applyFont="1" applyFill="1" applyBorder="1" applyAlignment="1" applyProtection="1">
      <alignment vertical="center" wrapText="1"/>
      <protection locked="0"/>
    </xf>
    <xf numFmtId="0" fontId="8" fillId="0" borderId="1" xfId="0" applyFont="1" applyBorder="1" applyAlignment="1" applyProtection="1">
      <alignment horizontal="center" vertical="center" wrapText="1"/>
      <protection locked="0"/>
    </xf>
    <xf numFmtId="0" fontId="23" fillId="0" borderId="0" xfId="0" applyFont="1"/>
    <xf numFmtId="0" fontId="24" fillId="0" borderId="1" xfId="0" applyFont="1" applyBorder="1" applyAlignment="1">
      <alignment horizontal="center" vertical="center" wrapText="1"/>
    </xf>
    <xf numFmtId="0" fontId="21" fillId="0" borderId="0" xfId="0" applyFont="1" applyAlignment="1" applyProtection="1">
      <alignment wrapText="1"/>
      <protection locked="0"/>
    </xf>
    <xf numFmtId="0" fontId="3" fillId="0" borderId="1" xfId="0" applyFont="1" applyBorder="1" applyAlignment="1" applyProtection="1">
      <alignment vertical="center" wrapText="1"/>
      <protection locked="0"/>
    </xf>
    <xf numFmtId="0" fontId="0" fillId="0" borderId="0" xfId="0" applyAlignment="1" applyProtection="1">
      <alignment wrapText="1"/>
      <protection locked="0"/>
    </xf>
    <xf numFmtId="0" fontId="3" fillId="0" borderId="1" xfId="0" applyFont="1" applyBorder="1" applyAlignment="1">
      <alignment vertical="center" wrapText="1"/>
    </xf>
    <xf numFmtId="0" fontId="3" fillId="0" borderId="1" xfId="0" applyFont="1" applyBorder="1" applyAlignment="1">
      <alignment horizontal="left" vertical="center" wrapText="1"/>
    </xf>
    <xf numFmtId="0" fontId="3" fillId="0" borderId="0" xfId="0" applyFont="1" applyAlignment="1" applyProtection="1">
      <alignment horizontal="center" vertical="center" wrapText="1"/>
      <protection locked="0"/>
    </xf>
    <xf numFmtId="0" fontId="8" fillId="0" borderId="1" xfId="3" applyFont="1" applyBorder="1" applyAlignment="1" applyProtection="1">
      <alignment horizontal="center" vertical="top" wrapText="1"/>
      <protection locked="0"/>
    </xf>
    <xf numFmtId="49" fontId="8" fillId="0" borderId="1" xfId="3" applyNumberFormat="1" applyFont="1" applyBorder="1" applyAlignment="1" applyProtection="1">
      <alignment horizontal="center" vertical="top" textRotation="90" wrapText="1"/>
      <protection locked="0"/>
    </xf>
    <xf numFmtId="49" fontId="16" fillId="0" borderId="1" xfId="3" applyNumberFormat="1" applyFont="1" applyBorder="1" applyAlignment="1" applyProtection="1">
      <alignment horizontal="center" vertical="top" wrapText="1"/>
      <protection locked="0"/>
    </xf>
    <xf numFmtId="0" fontId="3" fillId="0" borderId="1" xfId="3" applyFont="1" applyBorder="1" applyAlignment="1" applyProtection="1">
      <alignment horizontal="left" vertical="top" wrapText="1"/>
      <protection locked="0"/>
    </xf>
    <xf numFmtId="49" fontId="8" fillId="0" borderId="1" xfId="3" applyNumberFormat="1" applyFont="1" applyBorder="1" applyAlignment="1" applyProtection="1">
      <alignment horizontal="center" vertical="top" wrapText="1"/>
      <protection locked="0"/>
    </xf>
    <xf numFmtId="49" fontId="8" fillId="0" borderId="1" xfId="3" applyNumberFormat="1" applyFont="1" applyBorder="1" applyAlignment="1" applyProtection="1">
      <alignment horizontal="center" vertical="top"/>
      <protection locked="0"/>
    </xf>
    <xf numFmtId="0" fontId="16" fillId="0" borderId="1" xfId="0" applyFont="1" applyBorder="1" applyAlignment="1" applyProtection="1">
      <alignment horizontal="center" vertical="top"/>
      <protection locked="0"/>
    </xf>
    <xf numFmtId="49" fontId="16" fillId="0" borderId="1" xfId="3" applyNumberFormat="1" applyFont="1" applyBorder="1" applyAlignment="1" applyProtection="1">
      <alignment horizontal="center" vertical="top"/>
      <protection locked="0"/>
    </xf>
    <xf numFmtId="0" fontId="3" fillId="0" borderId="1" xfId="0" applyFont="1" applyBorder="1" applyAlignment="1" applyProtection="1">
      <alignment horizontal="left" vertical="top" wrapText="1"/>
      <protection locked="0"/>
    </xf>
    <xf numFmtId="0" fontId="16" fillId="0" borderId="1" xfId="3" applyFont="1" applyBorder="1" applyAlignment="1" applyProtection="1">
      <alignment horizontal="center" vertical="top"/>
      <protection locked="0"/>
    </xf>
    <xf numFmtId="0" fontId="8" fillId="0" borderId="1" xfId="3" applyFont="1" applyBorder="1" applyAlignment="1" applyProtection="1">
      <alignment horizontal="center" vertical="top"/>
      <protection locked="0"/>
    </xf>
    <xf numFmtId="0" fontId="3" fillId="3" borderId="1" xfId="0" applyFont="1" applyFill="1" applyBorder="1" applyAlignment="1" applyProtection="1">
      <alignment horizontal="left" vertical="top" wrapText="1"/>
      <protection locked="0"/>
    </xf>
    <xf numFmtId="0" fontId="3" fillId="0" borderId="1" xfId="3" applyFont="1" applyBorder="1" applyAlignment="1" applyProtection="1">
      <alignment vertical="top" wrapText="1"/>
      <protection locked="0"/>
    </xf>
    <xf numFmtId="0" fontId="3" fillId="3" borderId="1" xfId="3" applyFont="1" applyFill="1" applyBorder="1" applyAlignment="1" applyProtection="1">
      <alignment horizontal="left" vertical="top" wrapText="1"/>
      <protection locked="0"/>
    </xf>
    <xf numFmtId="2" fontId="16" fillId="0" borderId="1" xfId="3" applyNumberFormat="1" applyFont="1" applyBorder="1" applyAlignment="1" applyProtection="1">
      <alignment horizontal="center" vertical="top" wrapText="1"/>
      <protection locked="0"/>
    </xf>
    <xf numFmtId="49" fontId="16" fillId="4" borderId="1" xfId="0" applyNumberFormat="1" applyFont="1" applyFill="1" applyBorder="1" applyAlignment="1" applyProtection="1">
      <alignment horizontal="center" vertical="top" wrapText="1"/>
      <protection locked="0"/>
    </xf>
    <xf numFmtId="49" fontId="8" fillId="4" borderId="1" xfId="0" applyNumberFormat="1" applyFont="1" applyFill="1" applyBorder="1" applyAlignment="1" applyProtection="1">
      <alignment horizontal="center" vertical="top" wrapText="1"/>
      <protection locked="0"/>
    </xf>
    <xf numFmtId="49" fontId="16" fillId="4" borderId="1" xfId="0" applyNumberFormat="1" applyFont="1" applyFill="1" applyBorder="1" applyAlignment="1">
      <alignment horizontal="left" vertical="top" wrapText="1"/>
    </xf>
    <xf numFmtId="49" fontId="8" fillId="4" borderId="1" xfId="0" applyNumberFormat="1" applyFont="1" applyFill="1" applyBorder="1" applyAlignment="1">
      <alignment horizontal="left" vertical="top" wrapText="1"/>
    </xf>
    <xf numFmtId="0" fontId="3" fillId="4" borderId="7" xfId="0" applyFont="1" applyFill="1" applyBorder="1" applyAlignment="1">
      <alignment horizontal="left" vertical="top" wrapText="1"/>
    </xf>
    <xf numFmtId="0" fontId="3" fillId="4" borderId="7" xfId="0" applyFont="1" applyFill="1" applyBorder="1" applyAlignment="1">
      <alignment vertical="top" wrapText="1"/>
    </xf>
    <xf numFmtId="0" fontId="8" fillId="2" borderId="1" xfId="5" applyFont="1" applyFill="1" applyBorder="1" applyAlignment="1" applyProtection="1">
      <alignment horizontal="center" vertical="top" wrapText="1"/>
      <protection locked="0"/>
    </xf>
    <xf numFmtId="0" fontId="3" fillId="0" borderId="1" xfId="3" applyFont="1" applyBorder="1" applyAlignment="1" applyProtection="1">
      <alignment horizontal="left" vertical="center" wrapText="1"/>
      <protection locked="0"/>
    </xf>
    <xf numFmtId="0" fontId="8" fillId="0" borderId="0" xfId="2" applyFont="1" applyAlignment="1">
      <alignment horizontal="center" vertical="top" wrapText="1"/>
    </xf>
    <xf numFmtId="0" fontId="8" fillId="0" borderId="1" xfId="0" applyFont="1" applyBorder="1" applyAlignment="1" applyProtection="1">
      <alignment horizontal="center" vertical="top" wrapText="1"/>
      <protection locked="0"/>
    </xf>
    <xf numFmtId="49" fontId="8" fillId="4" borderId="1" xfId="0" applyNumberFormat="1" applyFont="1" applyFill="1" applyBorder="1" applyAlignment="1">
      <alignment vertical="top" wrapText="1"/>
    </xf>
    <xf numFmtId="0" fontId="3" fillId="0" borderId="13" xfId="0" applyFont="1" applyBorder="1" applyAlignment="1">
      <alignment vertical="top" wrapText="1"/>
    </xf>
    <xf numFmtId="165" fontId="3" fillId="0" borderId="13" xfId="0" applyNumberFormat="1" applyFont="1" applyBorder="1" applyAlignment="1">
      <alignment horizontal="center" vertical="top" wrapText="1"/>
    </xf>
    <xf numFmtId="0" fontId="3" fillId="0" borderId="1" xfId="0" applyFont="1" applyBorder="1" applyAlignment="1">
      <alignment vertical="top" wrapText="1"/>
    </xf>
    <xf numFmtId="165" fontId="3" fillId="0" borderId="1" xfId="0" applyNumberFormat="1" applyFont="1" applyBorder="1" applyAlignment="1">
      <alignment horizontal="center" vertical="top" wrapText="1"/>
    </xf>
    <xf numFmtId="164" fontId="3" fillId="0" borderId="1" xfId="2" applyNumberFormat="1" applyFont="1" applyBorder="1" applyAlignment="1">
      <alignment horizontal="center" vertical="top" wrapText="1"/>
    </xf>
    <xf numFmtId="15" fontId="3" fillId="0" borderId="1" xfId="0" applyNumberFormat="1" applyFont="1" applyBorder="1" applyAlignment="1">
      <alignment horizontal="center" vertical="top" wrapText="1"/>
    </xf>
    <xf numFmtId="9" fontId="4" fillId="0" borderId="0" xfId="6" applyFont="1" applyFill="1" applyBorder="1" applyAlignment="1" applyProtection="1">
      <alignment horizontal="center" vertical="center" wrapText="1"/>
      <protection locked="0"/>
    </xf>
    <xf numFmtId="49" fontId="3" fillId="0" borderId="23" xfId="1" applyNumberFormat="1" applyBorder="1" applyAlignment="1" applyProtection="1">
      <alignment horizontal="center" vertical="top" wrapText="1"/>
      <protection locked="0"/>
    </xf>
    <xf numFmtId="0" fontId="7" fillId="0" borderId="0" xfId="1" applyFont="1" applyAlignment="1" applyProtection="1">
      <alignment vertical="top" wrapText="1"/>
      <protection locked="0"/>
    </xf>
    <xf numFmtId="0" fontId="23" fillId="0" borderId="1" xfId="0" applyFont="1" applyBorder="1" applyAlignment="1">
      <alignment vertical="top" wrapText="1"/>
    </xf>
    <xf numFmtId="0" fontId="3" fillId="0" borderId="0" xfId="1"/>
    <xf numFmtId="164" fontId="3" fillId="0" borderId="4" xfId="2" applyNumberFormat="1" applyFont="1" applyBorder="1" applyAlignment="1">
      <alignment horizontal="center" vertical="top" wrapText="1"/>
    </xf>
    <xf numFmtId="0" fontId="3" fillId="0" borderId="4" xfId="2" applyFont="1" applyBorder="1" applyAlignment="1">
      <alignment vertical="top" wrapText="1"/>
    </xf>
    <xf numFmtId="0" fontId="3" fillId="0" borderId="4" xfId="2" applyFont="1" applyBorder="1" applyAlignment="1">
      <alignment horizontal="center" vertical="top" wrapText="1"/>
    </xf>
    <xf numFmtId="165" fontId="3" fillId="0" borderId="4" xfId="2" applyNumberFormat="1" applyFont="1" applyBorder="1" applyAlignment="1">
      <alignment horizontal="center" vertical="top" wrapText="1"/>
    </xf>
    <xf numFmtId="164" fontId="3" fillId="0" borderId="4" xfId="1" applyNumberFormat="1" applyBorder="1" applyAlignment="1">
      <alignment horizontal="center" vertical="top" wrapText="1"/>
    </xf>
    <xf numFmtId="0" fontId="3" fillId="0" borderId="4" xfId="1" applyBorder="1" applyAlignment="1">
      <alignment vertical="top" wrapText="1"/>
    </xf>
    <xf numFmtId="0" fontId="3" fillId="0" borderId="4" xfId="1" applyBorder="1" applyAlignment="1">
      <alignment horizontal="center" vertical="top" wrapText="1"/>
    </xf>
    <xf numFmtId="164" fontId="23" fillId="0" borderId="1" xfId="0" applyNumberFormat="1" applyFont="1" applyBorder="1" applyAlignment="1">
      <alignment horizontal="center" vertical="top" wrapText="1"/>
    </xf>
    <xf numFmtId="0" fontId="23" fillId="0" borderId="1" xfId="0" applyFont="1" applyBorder="1" applyAlignment="1">
      <alignment horizontal="center" vertical="top" wrapText="1"/>
    </xf>
    <xf numFmtId="164" fontId="3" fillId="0" borderId="21" xfId="2" applyNumberFormat="1" applyFont="1" applyBorder="1" applyAlignment="1">
      <alignment horizontal="center" vertical="top" wrapText="1"/>
    </xf>
    <xf numFmtId="0" fontId="23" fillId="0" borderId="13" xfId="0" applyFont="1" applyBorder="1" applyAlignment="1">
      <alignment horizontal="center" vertical="top" wrapText="1"/>
    </xf>
    <xf numFmtId="0" fontId="23" fillId="0" borderId="1" xfId="0" applyFont="1" applyBorder="1" applyAlignment="1">
      <alignment horizontal="center" vertical="top"/>
    </xf>
    <xf numFmtId="165" fontId="23" fillId="0" borderId="1" xfId="0" applyNumberFormat="1" applyFont="1" applyBorder="1" applyAlignment="1">
      <alignment horizontal="center" vertical="top"/>
    </xf>
    <xf numFmtId="0" fontId="23" fillId="0" borderId="0" xfId="0" applyFont="1" applyAlignment="1">
      <alignment wrapText="1"/>
    </xf>
    <xf numFmtId="15" fontId="23" fillId="0" borderId="1" xfId="0" applyNumberFormat="1" applyFont="1" applyBorder="1" applyAlignment="1">
      <alignment horizontal="center" vertical="top"/>
    </xf>
    <xf numFmtId="0" fontId="3" fillId="0" borderId="0" xfId="0" applyFont="1" applyAlignment="1">
      <alignment wrapText="1"/>
    </xf>
    <xf numFmtId="49" fontId="16" fillId="4" borderId="1" xfId="0" applyNumberFormat="1" applyFont="1" applyFill="1" applyBorder="1" applyAlignment="1">
      <alignment horizontal="center" vertical="top" wrapText="1"/>
    </xf>
    <xf numFmtId="9" fontId="16" fillId="6" borderId="1" xfId="6" applyFont="1" applyFill="1" applyBorder="1" applyAlignment="1" applyProtection="1">
      <alignment horizontal="center" vertical="top"/>
    </xf>
    <xf numFmtId="9" fontId="16" fillId="7" borderId="1" xfId="6" applyFont="1" applyFill="1" applyBorder="1" applyAlignment="1" applyProtection="1">
      <alignment horizontal="center" vertical="top"/>
    </xf>
    <xf numFmtId="9" fontId="16" fillId="8" borderId="1" xfId="6" applyFont="1" applyFill="1" applyBorder="1" applyAlignment="1" applyProtection="1">
      <alignment horizontal="center" vertical="top"/>
    </xf>
    <xf numFmtId="15" fontId="0" fillId="0" borderId="1" xfId="0" applyNumberFormat="1" applyBorder="1" applyAlignment="1">
      <alignment horizontal="center" vertical="top"/>
    </xf>
    <xf numFmtId="0" fontId="6" fillId="0" borderId="1" xfId="3" applyBorder="1" applyAlignment="1" applyProtection="1">
      <alignment horizontal="left" vertical="top" wrapText="1"/>
      <protection locked="0"/>
    </xf>
    <xf numFmtId="0" fontId="16" fillId="0" borderId="1" xfId="0" applyFont="1" applyBorder="1" applyAlignment="1">
      <alignment vertical="top" wrapText="1"/>
    </xf>
    <xf numFmtId="0" fontId="16" fillId="0" borderId="0" xfId="0" applyFont="1" applyAlignment="1">
      <alignment wrapText="1"/>
    </xf>
    <xf numFmtId="0" fontId="28" fillId="0" borderId="0" xfId="7" applyAlignment="1">
      <alignment horizontal="left"/>
    </xf>
    <xf numFmtId="0" fontId="1" fillId="4" borderId="7" xfId="0" applyFont="1" applyFill="1" applyBorder="1" applyAlignment="1">
      <alignment vertical="top" wrapText="1"/>
    </xf>
    <xf numFmtId="0" fontId="1" fillId="0" borderId="0" xfId="0" applyFont="1"/>
    <xf numFmtId="0" fontId="3" fillId="0" borderId="3" xfId="1" applyBorder="1" applyAlignment="1" applyProtection="1">
      <alignment horizontal="center" vertical="top" wrapText="1"/>
      <protection locked="0"/>
    </xf>
    <xf numFmtId="0" fontId="3" fillId="0" borderId="23" xfId="1" applyBorder="1" applyAlignment="1" applyProtection="1">
      <alignment horizontal="center" vertical="top" wrapText="1"/>
      <protection locked="0"/>
    </xf>
    <xf numFmtId="0" fontId="3" fillId="0" borderId="0" xfId="1" applyAlignment="1" applyProtection="1">
      <alignment vertical="top" wrapText="1"/>
      <protection locked="0"/>
    </xf>
    <xf numFmtId="0" fontId="1" fillId="0" borderId="1" xfId="0" applyFont="1" applyBorder="1" applyAlignment="1" applyProtection="1">
      <alignment horizontal="center" vertical="center"/>
      <protection locked="0"/>
    </xf>
    <xf numFmtId="49" fontId="1" fillId="0" borderId="1" xfId="0" applyNumberFormat="1" applyFont="1" applyBorder="1" applyAlignment="1" applyProtection="1">
      <alignment horizontal="center" vertical="top"/>
      <protection locked="0"/>
    </xf>
    <xf numFmtId="0" fontId="1" fillId="0" borderId="1" xfId="0" applyFont="1" applyBorder="1" applyAlignment="1" applyProtection="1">
      <alignment vertical="top" wrapText="1"/>
      <protection locked="0"/>
    </xf>
    <xf numFmtId="0" fontId="1" fillId="0" borderId="1" xfId="0" applyFont="1" applyBorder="1" applyAlignment="1" applyProtection="1">
      <alignment horizontal="left" vertical="top" wrapText="1"/>
      <protection locked="0"/>
    </xf>
    <xf numFmtId="165" fontId="1" fillId="0" borderId="1" xfId="0" applyNumberFormat="1" applyFont="1" applyBorder="1" applyAlignment="1" applyProtection="1">
      <alignment horizontal="left" vertical="top" wrapText="1"/>
      <protection locked="0"/>
    </xf>
    <xf numFmtId="164" fontId="1" fillId="0" borderId="1" xfId="0" quotePrefix="1" applyNumberFormat="1" applyFont="1" applyBorder="1" applyAlignment="1" applyProtection="1">
      <alignment horizontal="center" vertical="center"/>
      <protection locked="0"/>
    </xf>
    <xf numFmtId="49" fontId="1" fillId="0" borderId="1" xfId="0" quotePrefix="1" applyNumberFormat="1" applyFont="1" applyBorder="1" applyAlignment="1" applyProtection="1">
      <alignment horizontal="center" vertical="top"/>
      <protection locked="0"/>
    </xf>
    <xf numFmtId="0" fontId="1" fillId="0" borderId="1" xfId="3" applyFont="1" applyBorder="1" applyAlignment="1" applyProtection="1">
      <alignment horizontal="left" vertical="top" wrapText="1"/>
      <protection locked="0"/>
    </xf>
    <xf numFmtId="15" fontId="1" fillId="0" borderId="1" xfId="0" applyNumberFormat="1" applyFont="1" applyBorder="1" applyAlignment="1" applyProtection="1">
      <alignment horizontal="left" vertical="top" wrapText="1"/>
      <protection locked="0"/>
    </xf>
    <xf numFmtId="1" fontId="1" fillId="0" borderId="1" xfId="0" quotePrefix="1" applyNumberFormat="1" applyFont="1" applyBorder="1" applyAlignment="1" applyProtection="1">
      <alignment horizontal="center" vertical="center"/>
      <protection locked="0"/>
    </xf>
    <xf numFmtId="164" fontId="1" fillId="0" borderId="1" xfId="0" quotePrefix="1" applyNumberFormat="1" applyFont="1" applyBorder="1" applyAlignment="1" applyProtection="1">
      <alignment horizontal="center" vertical="center" wrapText="1"/>
      <protection locked="0"/>
    </xf>
    <xf numFmtId="2" fontId="1" fillId="0" borderId="1" xfId="0" quotePrefix="1" applyNumberFormat="1" applyFont="1" applyBorder="1" applyAlignment="1" applyProtection="1">
      <alignment horizontal="center" vertical="center"/>
      <protection locked="0"/>
    </xf>
    <xf numFmtId="2" fontId="1" fillId="0" borderId="1" xfId="0" quotePrefix="1" applyNumberFormat="1" applyFont="1" applyBorder="1" applyAlignment="1" applyProtection="1">
      <alignment horizontal="center" vertical="center" wrapText="1"/>
      <protection locked="0"/>
    </xf>
    <xf numFmtId="1" fontId="1" fillId="0" borderId="1" xfId="0" quotePrefix="1" applyNumberFormat="1" applyFont="1" applyBorder="1" applyAlignment="1" applyProtection="1">
      <alignment horizontal="center" vertical="center" wrapText="1"/>
      <protection locked="0"/>
    </xf>
    <xf numFmtId="1" fontId="1" fillId="3" borderId="1" xfId="0" quotePrefix="1" applyNumberFormat="1" applyFont="1" applyFill="1" applyBorder="1" applyAlignment="1" applyProtection="1">
      <alignment horizontal="center" vertical="center" wrapText="1"/>
      <protection locked="0"/>
    </xf>
    <xf numFmtId="0" fontId="1" fillId="0" borderId="1" xfId="0" applyFont="1" applyBorder="1" applyAlignment="1">
      <alignment horizontal="center" vertical="top" wrapText="1"/>
    </xf>
    <xf numFmtId="0" fontId="1" fillId="0" borderId="1" xfId="0" applyFont="1" applyBorder="1" applyAlignment="1" applyProtection="1">
      <alignment horizontal="center" vertical="top"/>
      <protection locked="0"/>
    </xf>
    <xf numFmtId="49" fontId="1" fillId="0" borderId="1" xfId="0" applyNumberFormat="1" applyFont="1" applyBorder="1" applyAlignment="1" applyProtection="1">
      <alignment vertical="top" wrapText="1"/>
      <protection locked="0"/>
    </xf>
    <xf numFmtId="165" fontId="1" fillId="0" borderId="1" xfId="0" applyNumberFormat="1" applyFont="1" applyBorder="1" applyAlignment="1" applyProtection="1">
      <alignment horizontal="center" vertical="top" wrapText="1"/>
      <protection locked="0"/>
    </xf>
    <xf numFmtId="0" fontId="1" fillId="0" borderId="1" xfId="0" applyFont="1" applyBorder="1" applyAlignment="1" applyProtection="1">
      <alignment horizontal="left" vertical="top"/>
      <protection locked="0"/>
    </xf>
    <xf numFmtId="49" fontId="1" fillId="0" borderId="1" xfId="0" applyNumberFormat="1" applyFont="1" applyBorder="1" applyAlignment="1" applyProtection="1">
      <alignment horizontal="left" vertical="top" wrapText="1"/>
      <protection locked="0"/>
    </xf>
    <xf numFmtId="0" fontId="1" fillId="0" borderId="0" xfId="0" applyFont="1" applyProtection="1">
      <protection locked="0"/>
    </xf>
    <xf numFmtId="49" fontId="1" fillId="0" borderId="0" xfId="0" applyNumberFormat="1" applyFont="1" applyAlignment="1" applyProtection="1">
      <alignment wrapText="1"/>
      <protection locked="0"/>
    </xf>
    <xf numFmtId="0" fontId="1" fillId="0" borderId="0" xfId="0" applyFont="1" applyAlignment="1" applyProtection="1">
      <alignment horizontal="left" vertical="top"/>
      <protection locked="0"/>
    </xf>
    <xf numFmtId="0" fontId="1" fillId="0" borderId="1" xfId="0" applyFont="1" applyBorder="1" applyAlignment="1">
      <alignment horizontal="center" vertical="center"/>
    </xf>
    <xf numFmtId="0" fontId="3" fillId="0" borderId="0" xfId="0" applyFont="1" applyAlignment="1" applyProtection="1">
      <alignment wrapText="1"/>
      <protection locked="0"/>
    </xf>
    <xf numFmtId="0" fontId="1" fillId="0" borderId="1" xfId="0" applyFont="1" applyBorder="1" applyAlignment="1">
      <alignment horizontal="left" vertical="top"/>
    </xf>
    <xf numFmtId="165" fontId="1" fillId="0" borderId="1" xfId="0" applyNumberFormat="1" applyFont="1" applyBorder="1" applyAlignment="1">
      <alignment horizontal="left" vertical="top"/>
    </xf>
    <xf numFmtId="165" fontId="1" fillId="0" borderId="1" xfId="0" applyNumberFormat="1" applyFont="1" applyBorder="1" applyAlignment="1" applyProtection="1">
      <alignment horizontal="left" vertical="top"/>
      <protection locked="0"/>
    </xf>
    <xf numFmtId="0" fontId="1" fillId="5" borderId="1" xfId="0" applyFont="1" applyFill="1" applyBorder="1" applyAlignment="1" applyProtection="1">
      <alignment vertical="top"/>
      <protection hidden="1"/>
    </xf>
    <xf numFmtId="0" fontId="1" fillId="0" borderId="1" xfId="0" applyFont="1" applyBorder="1" applyAlignment="1">
      <alignment vertical="top"/>
    </xf>
    <xf numFmtId="165" fontId="1" fillId="0" borderId="1" xfId="0" applyNumberFormat="1" applyFont="1" applyBorder="1" applyAlignment="1">
      <alignment vertical="top"/>
    </xf>
    <xf numFmtId="165" fontId="1" fillId="0" borderId="1" xfId="0" applyNumberFormat="1" applyFont="1" applyBorder="1" applyAlignment="1" applyProtection="1">
      <alignment vertical="top"/>
      <protection locked="0"/>
    </xf>
    <xf numFmtId="0" fontId="1" fillId="0" borderId="1" xfId="0" applyFont="1" applyBorder="1" applyAlignment="1" applyProtection="1">
      <alignment vertical="top"/>
      <protection locked="0"/>
    </xf>
    <xf numFmtId="15" fontId="1" fillId="0" borderId="1" xfId="0" applyNumberFormat="1" applyFont="1" applyBorder="1" applyAlignment="1">
      <alignment horizontal="center" vertical="top"/>
    </xf>
    <xf numFmtId="0" fontId="1" fillId="0" borderId="1" xfId="0" applyFont="1" applyBorder="1" applyAlignment="1">
      <alignment vertical="top" wrapText="1"/>
    </xf>
    <xf numFmtId="164" fontId="1" fillId="0" borderId="1" xfId="0" applyNumberFormat="1" applyFont="1" applyBorder="1" applyAlignment="1">
      <alignment horizontal="center" vertical="top" wrapText="1"/>
    </xf>
    <xf numFmtId="0" fontId="3" fillId="0" borderId="0" xfId="1" applyAlignment="1" applyProtection="1">
      <alignment horizontal="center" vertical="top" wrapText="1"/>
      <protection locked="0"/>
    </xf>
    <xf numFmtId="0" fontId="4" fillId="4" borderId="14" xfId="0" applyFont="1" applyFill="1" applyBorder="1" applyAlignment="1">
      <alignment horizontal="center" wrapText="1"/>
    </xf>
    <xf numFmtId="0" fontId="4" fillId="4" borderId="15" xfId="0" applyFont="1" applyFill="1" applyBorder="1" applyAlignment="1">
      <alignment horizontal="center" wrapText="1"/>
    </xf>
    <xf numFmtId="0" fontId="4" fillId="4" borderId="16" xfId="0" applyFont="1" applyFill="1" applyBorder="1" applyAlignment="1">
      <alignment horizontal="center" wrapText="1"/>
    </xf>
    <xf numFmtId="0" fontId="8" fillId="4" borderId="17" xfId="0" applyFont="1" applyFill="1" applyBorder="1" applyAlignment="1">
      <alignment horizontal="center"/>
    </xf>
    <xf numFmtId="0" fontId="8" fillId="4" borderId="9" xfId="0" applyFont="1" applyFill="1" applyBorder="1" applyAlignment="1">
      <alignment horizontal="center"/>
    </xf>
    <xf numFmtId="0" fontId="3" fillId="0" borderId="1" xfId="0" applyFont="1" applyBorder="1" applyAlignment="1">
      <alignment horizontal="left" vertical="top" wrapText="1"/>
    </xf>
    <xf numFmtId="0" fontId="3" fillId="0" borderId="10" xfId="0" applyFont="1" applyBorder="1" applyAlignment="1">
      <alignment horizontal="left" vertical="top" wrapText="1"/>
    </xf>
    <xf numFmtId="0" fontId="1" fillId="0" borderId="1" xfId="0" applyFont="1" applyBorder="1" applyAlignment="1">
      <alignment horizontal="left" vertical="top"/>
    </xf>
    <xf numFmtId="0" fontId="1" fillId="0" borderId="10" xfId="0" applyFont="1" applyBorder="1" applyAlignment="1">
      <alignment horizontal="left" vertical="top"/>
    </xf>
    <xf numFmtId="15" fontId="1" fillId="0" borderId="1" xfId="0" applyNumberFormat="1" applyFont="1" applyBorder="1" applyAlignment="1">
      <alignment horizontal="left" vertical="top"/>
    </xf>
    <xf numFmtId="0" fontId="1" fillId="0" borderId="22" xfId="0" applyFont="1" applyBorder="1" applyAlignment="1">
      <alignment horizontal="left" wrapText="1"/>
    </xf>
    <xf numFmtId="49" fontId="8" fillId="4" borderId="25" xfId="0" applyNumberFormat="1" applyFont="1" applyFill="1" applyBorder="1" applyAlignment="1">
      <alignment horizontal="center" wrapText="1"/>
    </xf>
    <xf numFmtId="49" fontId="8" fillId="4" borderId="22" xfId="0" applyNumberFormat="1" applyFont="1" applyFill="1" applyBorder="1" applyAlignment="1">
      <alignment horizontal="center" wrapText="1"/>
    </xf>
    <xf numFmtId="49" fontId="8" fillId="4" borderId="26" xfId="0" applyNumberFormat="1" applyFont="1" applyFill="1" applyBorder="1" applyAlignment="1">
      <alignment horizontal="center" wrapText="1"/>
    </xf>
    <xf numFmtId="49" fontId="8" fillId="4" borderId="27" xfId="0" applyNumberFormat="1" applyFont="1" applyFill="1" applyBorder="1" applyAlignment="1">
      <alignment horizontal="center" vertical="top" wrapText="1"/>
    </xf>
    <xf numFmtId="49" fontId="8" fillId="4" borderId="17" xfId="0" applyNumberFormat="1" applyFont="1" applyFill="1" applyBorder="1" applyAlignment="1">
      <alignment horizontal="center" vertical="top" wrapText="1"/>
    </xf>
    <xf numFmtId="49" fontId="1" fillId="0" borderId="7" xfId="0" applyNumberFormat="1" applyFont="1" applyBorder="1" applyAlignment="1">
      <alignment horizontal="left" vertical="top" wrapText="1"/>
    </xf>
    <xf numFmtId="49" fontId="1" fillId="0" borderId="1" xfId="0" applyNumberFormat="1" applyFont="1" applyBorder="1" applyAlignment="1">
      <alignment horizontal="left" vertical="top" wrapText="1"/>
    </xf>
    <xf numFmtId="49" fontId="1" fillId="0" borderId="8" xfId="0" applyNumberFormat="1" applyFont="1" applyBorder="1" applyAlignment="1">
      <alignment horizontal="left" vertical="top" wrapText="1"/>
    </xf>
    <xf numFmtId="49" fontId="1" fillId="0" borderId="11" xfId="0" applyNumberFormat="1" applyFont="1" applyBorder="1" applyAlignment="1">
      <alignment horizontal="left" vertical="top" wrapText="1"/>
    </xf>
    <xf numFmtId="0" fontId="8" fillId="4" borderId="24" xfId="0" applyFont="1" applyFill="1" applyBorder="1" applyAlignment="1">
      <alignment horizontal="center" vertical="top"/>
    </xf>
    <xf numFmtId="0" fontId="8" fillId="4" borderId="29" xfId="0" applyFont="1" applyFill="1" applyBorder="1" applyAlignment="1">
      <alignment horizontal="center" vertical="top"/>
    </xf>
    <xf numFmtId="0" fontId="1" fillId="0" borderId="2" xfId="0" applyFont="1" applyBorder="1" applyAlignment="1">
      <alignment horizontal="center" vertical="top"/>
    </xf>
    <xf numFmtId="0" fontId="1" fillId="0" borderId="30" xfId="0" applyFont="1" applyBorder="1" applyAlignment="1">
      <alignment horizontal="center" vertical="top"/>
    </xf>
    <xf numFmtId="0" fontId="1" fillId="0" borderId="12" xfId="0" applyFont="1" applyBorder="1" applyAlignment="1">
      <alignment horizontal="center" vertical="top"/>
    </xf>
    <xf numFmtId="0" fontId="1" fillId="0" borderId="31" xfId="0" applyFont="1" applyBorder="1" applyAlignment="1">
      <alignment horizontal="center" vertical="top"/>
    </xf>
    <xf numFmtId="0" fontId="11" fillId="0" borderId="1" xfId="1" applyFont="1" applyBorder="1" applyAlignment="1" applyProtection="1">
      <alignment horizontal="center" wrapText="1"/>
      <protection locked="0"/>
    </xf>
    <xf numFmtId="49" fontId="4" fillId="0" borderId="1" xfId="1" applyNumberFormat="1" applyFont="1" applyBorder="1" applyAlignment="1" applyProtection="1">
      <alignment horizontal="center" vertical="center" wrapText="1"/>
      <protection locked="0"/>
    </xf>
    <xf numFmtId="49" fontId="3" fillId="0" borderId="1" xfId="1" applyNumberFormat="1" applyBorder="1" applyAlignment="1" applyProtection="1">
      <alignment horizontal="left" vertical="top" wrapText="1"/>
      <protection locked="0"/>
    </xf>
    <xf numFmtId="0" fontId="3" fillId="0" borderId="1" xfId="0" applyFont="1" applyBorder="1" applyAlignment="1" applyProtection="1">
      <alignment horizontal="center" vertical="top" wrapText="1"/>
      <protection locked="0"/>
    </xf>
    <xf numFmtId="49" fontId="16" fillId="4" borderId="1" xfId="0" applyNumberFormat="1" applyFont="1" applyFill="1" applyBorder="1" applyAlignment="1" applyProtection="1">
      <alignment horizontal="center" vertical="top" wrapText="1"/>
      <protection locked="0"/>
    </xf>
    <xf numFmtId="0" fontId="1" fillId="0" borderId="1" xfId="0" applyFont="1" applyBorder="1" applyAlignment="1" applyProtection="1">
      <alignment horizontal="left" vertical="top"/>
      <protection locked="0"/>
    </xf>
    <xf numFmtId="49" fontId="18" fillId="0" borderId="1" xfId="0" applyNumberFormat="1" applyFont="1" applyBorder="1" applyAlignment="1">
      <alignment horizontal="center" wrapText="1"/>
    </xf>
    <xf numFmtId="49" fontId="5" fillId="4" borderId="1" xfId="0" applyNumberFormat="1" applyFont="1" applyFill="1" applyBorder="1" applyAlignment="1">
      <alignment horizontal="center" vertical="center" wrapText="1"/>
    </xf>
    <xf numFmtId="0" fontId="1" fillId="0" borderId="1" xfId="0" applyFont="1" applyBorder="1" applyAlignment="1">
      <alignment horizontal="center" vertical="top" wrapText="1"/>
    </xf>
    <xf numFmtId="0" fontId="26" fillId="0" borderId="2" xfId="0" applyFont="1" applyBorder="1" applyAlignment="1">
      <alignment horizontal="center" vertical="center"/>
    </xf>
    <xf numFmtId="0" fontId="26" fillId="0" borderId="3" xfId="0" applyFont="1" applyBorder="1" applyAlignment="1">
      <alignment horizontal="center" vertical="center"/>
    </xf>
    <xf numFmtId="0" fontId="26" fillId="0" borderId="28" xfId="0" applyFont="1" applyBorder="1" applyAlignment="1">
      <alignment horizontal="center" vertical="center"/>
    </xf>
    <xf numFmtId="0" fontId="22" fillId="4" borderId="2" xfId="0" applyFont="1" applyFill="1" applyBorder="1" applyAlignment="1" applyProtection="1">
      <alignment horizontal="center"/>
      <protection locked="0"/>
    </xf>
    <xf numFmtId="0" fontId="22" fillId="4" borderId="3" xfId="0" applyFont="1" applyFill="1" applyBorder="1" applyAlignment="1" applyProtection="1">
      <alignment horizontal="center"/>
      <protection locked="0"/>
    </xf>
    <xf numFmtId="0" fontId="22" fillId="4" borderId="28" xfId="0" applyFont="1" applyFill="1" applyBorder="1" applyAlignment="1" applyProtection="1">
      <alignment horizontal="center"/>
      <protection locked="0"/>
    </xf>
    <xf numFmtId="0" fontId="8" fillId="0" borderId="0" xfId="2" applyFont="1" applyAlignment="1">
      <alignment horizontal="center" vertical="top" wrapText="1"/>
    </xf>
    <xf numFmtId="164" fontId="8" fillId="0" borderId="18" xfId="2" applyNumberFormat="1" applyFont="1" applyBorder="1" applyAlignment="1">
      <alignment horizontal="left" vertical="top" wrapText="1"/>
    </xf>
    <xf numFmtId="164" fontId="8" fillId="0" borderId="19" xfId="2" applyNumberFormat="1" applyFont="1" applyBorder="1" applyAlignment="1">
      <alignment horizontal="left" vertical="top" wrapText="1"/>
    </xf>
    <xf numFmtId="164" fontId="8" fillId="0" borderId="20" xfId="2" applyNumberFormat="1" applyFont="1" applyBorder="1" applyAlignment="1">
      <alignment horizontal="left" vertical="top" wrapText="1"/>
    </xf>
  </cellXfs>
  <cellStyles count="8">
    <cellStyle name="Hyperlink" xfId="7" builtinId="8"/>
    <cellStyle name="Normal" xfId="0" builtinId="0"/>
    <cellStyle name="Normal 2" xfId="2" xr:uid="{00000000-0005-0000-0000-000001000000}"/>
    <cellStyle name="Normal 2 2" xfId="5" xr:uid="{00000000-0005-0000-0000-000002000000}"/>
    <cellStyle name="Normal 3" xfId="1" xr:uid="{00000000-0005-0000-0000-000003000000}"/>
    <cellStyle name="Normal 3 2" xfId="4" xr:uid="{00000000-0005-0000-0000-000004000000}"/>
    <cellStyle name="Percent" xfId="6" builtinId="5"/>
    <cellStyle name="Standard 2" xfId="3" xr:uid="{00000000-0005-0000-0000-000006000000}"/>
  </cellStyles>
  <dxfs count="23">
    <dxf>
      <fill>
        <patternFill>
          <bgColor rgb="FFFF0000"/>
        </patternFill>
      </fill>
    </dxf>
    <dxf>
      <fill>
        <patternFill>
          <bgColor rgb="FFFFFF00"/>
        </patternFill>
      </fill>
    </dxf>
    <dxf>
      <fill>
        <patternFill>
          <bgColor rgb="FF00B050"/>
        </patternFill>
      </fill>
    </dxf>
    <dxf>
      <fill>
        <patternFill>
          <bgColor rgb="FF00B0F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447040</xdr:colOff>
      <xdr:row>0</xdr:row>
      <xdr:rowOff>0</xdr:rowOff>
    </xdr:from>
    <xdr:to>
      <xdr:col>3</xdr:col>
      <xdr:colOff>566345</xdr:colOff>
      <xdr:row>0</xdr:row>
      <xdr:rowOff>154940</xdr:rowOff>
    </xdr:to>
    <xdr:pic>
      <xdr:nvPicPr>
        <xdr:cNvPr id="2" name="Picture 16">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7040" y="0"/>
          <a:ext cx="608255" cy="1549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11</xdr:col>
          <xdr:colOff>107950</xdr:colOff>
          <xdr:row>2</xdr:row>
          <xdr:rowOff>0</xdr:rowOff>
        </xdr:from>
        <xdr:to>
          <xdr:col>11</xdr:col>
          <xdr:colOff>565150</xdr:colOff>
          <xdr:row>2</xdr:row>
          <xdr:rowOff>0</xdr:rowOff>
        </xdr:to>
        <xdr:sp macro="" textlink="">
          <xdr:nvSpPr>
            <xdr:cNvPr id="1029" name="Object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107950</xdr:colOff>
          <xdr:row>2</xdr:row>
          <xdr:rowOff>0</xdr:rowOff>
        </xdr:from>
        <xdr:to>
          <xdr:col>11</xdr:col>
          <xdr:colOff>565150</xdr:colOff>
          <xdr:row>2</xdr:row>
          <xdr:rowOff>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11</xdr:col>
      <xdr:colOff>704850</xdr:colOff>
      <xdr:row>1</xdr:row>
      <xdr:rowOff>107950</xdr:rowOff>
    </xdr:from>
    <xdr:to>
      <xdr:col>13</xdr:col>
      <xdr:colOff>863600</xdr:colOff>
      <xdr:row>2</xdr:row>
      <xdr:rowOff>381000</xdr:rowOff>
    </xdr:to>
    <xdr:sp macro="[0]!Sheet3.Updatecriticalissues_Click" textlink="">
      <xdr:nvSpPr>
        <xdr:cNvPr id="6" name="Rounded Rectangle 5">
          <a:extLst>
            <a:ext uri="{FF2B5EF4-FFF2-40B4-BE49-F238E27FC236}">
              <a16:creationId xmlns:a16="http://schemas.microsoft.com/office/drawing/2014/main" id="{00000000-0008-0000-0100-000006000000}"/>
            </a:ext>
          </a:extLst>
        </xdr:cNvPr>
        <xdr:cNvSpPr/>
      </xdr:nvSpPr>
      <xdr:spPr>
        <a:xfrm>
          <a:off x="10223500" y="292100"/>
          <a:ext cx="1676400" cy="501650"/>
        </a:xfrm>
        <a:prstGeom prst="roundRect">
          <a:avLst/>
        </a:prstGeom>
        <a:solidFill>
          <a:srgbClr val="00B0F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Update QG Approval and OPL Worksheets</a:t>
          </a:r>
        </a:p>
        <a:p>
          <a:pPr algn="ctr"/>
          <a:endParaRPr lang="en-US" sz="11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819150</xdr:colOff>
      <xdr:row>0</xdr:row>
      <xdr:rowOff>342900</xdr:rowOff>
    </xdr:from>
    <xdr:to>
      <xdr:col>5</xdr:col>
      <xdr:colOff>1183881</xdr:colOff>
      <xdr:row>2</xdr:row>
      <xdr:rowOff>127000</xdr:rowOff>
    </xdr:to>
    <xdr:pic macro="[0]!Sheet1.Create_PDF_Click">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8261350" y="342900"/>
          <a:ext cx="364731"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91441</xdr:colOff>
      <xdr:row>0</xdr:row>
      <xdr:rowOff>15240</xdr:rowOff>
    </xdr:from>
    <xdr:to>
      <xdr:col>1</xdr:col>
      <xdr:colOff>68581</xdr:colOff>
      <xdr:row>0</xdr:row>
      <xdr:rowOff>176950</xdr:rowOff>
    </xdr:to>
    <xdr:pic>
      <xdr:nvPicPr>
        <xdr:cNvPr id="2" name="Picture 16">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441" y="15240"/>
          <a:ext cx="586740" cy="1617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kor2vm0022.apac.bosch.com/stages/"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D27"/>
  <sheetViews>
    <sheetView showGridLines="0" zoomScaleNormal="100" workbookViewId="0">
      <selection activeCell="B9" sqref="B9:D9"/>
    </sheetView>
  </sheetViews>
  <sheetFormatPr defaultRowHeight="14.5" x14ac:dyDescent="0.35"/>
  <cols>
    <col min="1" max="1" width="36.54296875" customWidth="1"/>
    <col min="2" max="2" width="17" customWidth="1"/>
    <col min="3" max="3" width="17.1796875" customWidth="1"/>
    <col min="4" max="4" width="17" customWidth="1"/>
  </cols>
  <sheetData>
    <row r="1" spans="1:4" ht="18.5" thickBot="1" x14ac:dyDescent="0.45">
      <c r="A1" s="133" t="s">
        <v>0</v>
      </c>
      <c r="B1" s="134"/>
      <c r="C1" s="134"/>
      <c r="D1" s="135"/>
    </row>
    <row r="2" spans="1:4" x14ac:dyDescent="0.35">
      <c r="A2" s="6" t="s">
        <v>1</v>
      </c>
      <c r="B2" s="136" t="s">
        <v>2</v>
      </c>
      <c r="C2" s="136"/>
      <c r="D2" s="137"/>
    </row>
    <row r="3" spans="1:4" s="20" customFormat="1" ht="27" customHeight="1" x14ac:dyDescent="0.3">
      <c r="A3" s="47" t="s">
        <v>3</v>
      </c>
      <c r="B3" s="138" t="s">
        <v>4</v>
      </c>
      <c r="C3" s="138"/>
      <c r="D3" s="139"/>
    </row>
    <row r="4" spans="1:4" s="20" customFormat="1" ht="27" customHeight="1" x14ac:dyDescent="0.3">
      <c r="A4" s="47" t="s">
        <v>5</v>
      </c>
      <c r="B4" s="138" t="s">
        <v>6</v>
      </c>
      <c r="C4" s="138"/>
      <c r="D4" s="139"/>
    </row>
    <row r="5" spans="1:4" s="20" customFormat="1" ht="14" x14ac:dyDescent="0.3">
      <c r="A5" s="90" t="s">
        <v>7</v>
      </c>
      <c r="B5" s="140" t="s">
        <v>8</v>
      </c>
      <c r="C5" s="140"/>
      <c r="D5" s="141"/>
    </row>
    <row r="6" spans="1:4" s="20" customFormat="1" ht="14" x14ac:dyDescent="0.3">
      <c r="A6" s="90" t="s">
        <v>9</v>
      </c>
      <c r="B6" s="140"/>
      <c r="C6" s="140"/>
      <c r="D6" s="141"/>
    </row>
    <row r="7" spans="1:4" s="20" customFormat="1" ht="14" x14ac:dyDescent="0.3">
      <c r="A7" s="90" t="s">
        <v>10</v>
      </c>
      <c r="B7" s="140" t="s">
        <v>11</v>
      </c>
      <c r="C7" s="140"/>
      <c r="D7" s="141"/>
    </row>
    <row r="8" spans="1:4" s="20" customFormat="1" ht="14" x14ac:dyDescent="0.3">
      <c r="A8" s="90" t="s">
        <v>12</v>
      </c>
      <c r="B8" s="138" t="s">
        <v>13</v>
      </c>
      <c r="C8" s="138"/>
      <c r="D8" s="139"/>
    </row>
    <row r="9" spans="1:4" s="20" customFormat="1" ht="14" x14ac:dyDescent="0.3">
      <c r="A9" s="90" t="s">
        <v>14</v>
      </c>
      <c r="B9" s="140"/>
      <c r="C9" s="140"/>
      <c r="D9" s="141"/>
    </row>
    <row r="10" spans="1:4" s="20" customFormat="1" ht="14" x14ac:dyDescent="0.3">
      <c r="A10" s="90" t="s">
        <v>15</v>
      </c>
      <c r="B10" s="142" t="s">
        <v>16</v>
      </c>
      <c r="C10" s="140"/>
      <c r="D10" s="141"/>
    </row>
    <row r="11" spans="1:4" s="20" customFormat="1" ht="14" x14ac:dyDescent="0.3">
      <c r="A11" s="48" t="s">
        <v>17</v>
      </c>
      <c r="B11" s="138" t="s">
        <v>18</v>
      </c>
      <c r="C11" s="138"/>
      <c r="D11" s="139"/>
    </row>
    <row r="12" spans="1:4" s="20" customFormat="1" ht="14" x14ac:dyDescent="0.3">
      <c r="A12" s="48" t="s">
        <v>19</v>
      </c>
      <c r="B12" s="140"/>
      <c r="C12" s="140"/>
      <c r="D12" s="141"/>
    </row>
    <row r="13" spans="1:4" s="20" customFormat="1" ht="14" x14ac:dyDescent="0.3">
      <c r="A13" s="48" t="s">
        <v>20</v>
      </c>
      <c r="B13" s="140"/>
      <c r="C13" s="140"/>
      <c r="D13" s="141"/>
    </row>
    <row r="14" spans="1:4" s="20" customFormat="1" thickBot="1" x14ac:dyDescent="0.35">
      <c r="A14" s="90" t="s">
        <v>21</v>
      </c>
      <c r="B14" s="140" t="s">
        <v>22</v>
      </c>
      <c r="C14" s="140"/>
      <c r="D14" s="141"/>
    </row>
    <row r="15" spans="1:4" ht="13.4" customHeight="1" x14ac:dyDescent="0.35">
      <c r="A15" s="143"/>
      <c r="B15" s="143"/>
      <c r="C15" s="143"/>
      <c r="D15" s="143"/>
    </row>
    <row r="16" spans="1:4" ht="15" thickBot="1" x14ac:dyDescent="0.4">
      <c r="A16" s="88" t="s">
        <v>23</v>
      </c>
      <c r="B16" s="89" t="s">
        <v>24</v>
      </c>
      <c r="C16" s="91"/>
      <c r="D16" s="91"/>
    </row>
    <row r="17" spans="1:4" ht="15" thickBot="1" x14ac:dyDescent="0.4">
      <c r="A17" s="144" t="s">
        <v>25</v>
      </c>
      <c r="B17" s="145"/>
      <c r="C17" s="145"/>
      <c r="D17" s="146"/>
    </row>
    <row r="18" spans="1:4" x14ac:dyDescent="0.35">
      <c r="A18" s="147" t="s">
        <v>26</v>
      </c>
      <c r="B18" s="148"/>
      <c r="C18" s="153" t="s">
        <v>27</v>
      </c>
      <c r="D18" s="154"/>
    </row>
    <row r="19" spans="1:4" x14ac:dyDescent="0.35">
      <c r="A19" s="149" t="s">
        <v>28</v>
      </c>
      <c r="B19" s="150"/>
      <c r="C19" s="155" t="s">
        <v>29</v>
      </c>
      <c r="D19" s="156"/>
    </row>
    <row r="20" spans="1:4" x14ac:dyDescent="0.35">
      <c r="A20" s="149" t="s">
        <v>30</v>
      </c>
      <c r="B20" s="150"/>
      <c r="C20" s="155" t="s">
        <v>29</v>
      </c>
      <c r="D20" s="156"/>
    </row>
    <row r="21" spans="1:4" x14ac:dyDescent="0.35">
      <c r="A21" s="149" t="s">
        <v>31</v>
      </c>
      <c r="B21" s="150"/>
      <c r="C21" s="155" t="s">
        <v>29</v>
      </c>
      <c r="D21" s="156"/>
    </row>
    <row r="22" spans="1:4" x14ac:dyDescent="0.35">
      <c r="A22" s="149" t="s">
        <v>32</v>
      </c>
      <c r="B22" s="150"/>
      <c r="C22" s="155" t="s">
        <v>29</v>
      </c>
      <c r="D22" s="156"/>
    </row>
    <row r="23" spans="1:4" x14ac:dyDescent="0.35">
      <c r="A23" s="149" t="s">
        <v>18</v>
      </c>
      <c r="B23" s="150"/>
      <c r="C23" s="155" t="s">
        <v>29</v>
      </c>
      <c r="D23" s="156"/>
    </row>
    <row r="24" spans="1:4" x14ac:dyDescent="0.35">
      <c r="A24" s="149"/>
      <c r="B24" s="150"/>
      <c r="C24" s="155"/>
      <c r="D24" s="156"/>
    </row>
    <row r="25" spans="1:4" x14ac:dyDescent="0.35">
      <c r="A25" s="149"/>
      <c r="B25" s="150"/>
      <c r="C25" s="155"/>
      <c r="D25" s="156"/>
    </row>
    <row r="26" spans="1:4" x14ac:dyDescent="0.35">
      <c r="A26" s="149"/>
      <c r="B26" s="150"/>
      <c r="C26" s="155"/>
      <c r="D26" s="156"/>
    </row>
    <row r="27" spans="1:4" ht="15" thickBot="1" x14ac:dyDescent="0.4">
      <c r="A27" s="151"/>
      <c r="B27" s="152"/>
      <c r="C27" s="157"/>
      <c r="D27" s="158"/>
    </row>
  </sheetData>
  <mergeCells count="36">
    <mergeCell ref="C23:D23"/>
    <mergeCell ref="C24:D24"/>
    <mergeCell ref="C25:D25"/>
    <mergeCell ref="C26:D26"/>
    <mergeCell ref="C27:D27"/>
    <mergeCell ref="C18:D18"/>
    <mergeCell ref="C19:D19"/>
    <mergeCell ref="C20:D20"/>
    <mergeCell ref="C21:D21"/>
    <mergeCell ref="C22:D22"/>
    <mergeCell ref="A23:B23"/>
    <mergeCell ref="A24:B24"/>
    <mergeCell ref="A25:B25"/>
    <mergeCell ref="A26:B26"/>
    <mergeCell ref="A27:B27"/>
    <mergeCell ref="A18:B18"/>
    <mergeCell ref="A19:B19"/>
    <mergeCell ref="A20:B20"/>
    <mergeCell ref="A21:B21"/>
    <mergeCell ref="A22:B22"/>
    <mergeCell ref="A15:D15"/>
    <mergeCell ref="A17:D17"/>
    <mergeCell ref="B12:D12"/>
    <mergeCell ref="B13:D13"/>
    <mergeCell ref="B14:D14"/>
    <mergeCell ref="B7:D7"/>
    <mergeCell ref="B8:D8"/>
    <mergeCell ref="B9:D9"/>
    <mergeCell ref="B10:D10"/>
    <mergeCell ref="B11:D11"/>
    <mergeCell ref="A1:D1"/>
    <mergeCell ref="B2:D2"/>
    <mergeCell ref="B3:D3"/>
    <mergeCell ref="B5:D5"/>
    <mergeCell ref="B6:D6"/>
    <mergeCell ref="B4:D4"/>
  </mergeCells>
  <dataValidations count="1">
    <dataValidation type="list" allowBlank="1" showInputMessage="1" showErrorMessage="1" sqref="C19:C27" xr:uid="{00000000-0002-0000-0000-000000000000}">
      <formula1>"Yes, No"</formula1>
    </dataValidation>
  </dataValidations>
  <hyperlinks>
    <hyperlink ref="B16" r:id="rId1" location="/workspace/4300/_vv/process/guidance/_MvmsAJdhP6iTos-ibAZNKA" xr:uid="{B728C635-1D35-437E-92D9-BFBD68474A52}"/>
  </hyperlinks>
  <pageMargins left="0.7" right="0.7" top="0.75" bottom="0.75" header="0.3" footer="0.3"/>
  <pageSetup paperSize="9" scale="99" orientation="portrait" r:id="rId2"/>
  <headerFooter>
    <oddHeader xml:space="preserve">&amp;RPage &amp;P  of  &amp;N </oddHeader>
    <oddFooter>&amp;L&amp;8QSC-SUP-04; Ver 3.4
BGSW/BGSV&amp;C&amp;8© This is the exclusive property of Bosch Global Software Technologies Private Limited.  
Without their consent, it may not be reproduced or given to third parties.
15/07/2022&amp;R&amp;8Internal   &amp;F</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filterMode="1">
    <pageSetUpPr fitToPage="1"/>
  </sheetPr>
  <dimension ref="A2:S42"/>
  <sheetViews>
    <sheetView showGridLines="0" tabSelected="1" topLeftCell="H35" zoomScale="77" zoomScaleNormal="77" zoomScaleSheetLayoutView="10" zoomScalePageLayoutView="60" workbookViewId="0">
      <selection activeCell="L37" sqref="L37"/>
    </sheetView>
  </sheetViews>
  <sheetFormatPr defaultColWidth="8.7265625" defaultRowHeight="14.5" x14ac:dyDescent="0.35"/>
  <cols>
    <col min="1" max="1" width="12.7265625" style="24" customWidth="1"/>
    <col min="2" max="2" width="9.1796875" style="12" customWidth="1"/>
    <col min="3" max="3" width="7" style="12" customWidth="1"/>
    <col min="4" max="4" width="8.7265625" style="12" customWidth="1"/>
    <col min="5" max="5" width="10.453125" style="12" customWidth="1"/>
    <col min="6" max="6" width="7.1796875" style="12" customWidth="1"/>
    <col min="7" max="8" width="6.81640625" style="12" customWidth="1"/>
    <col min="9" max="9" width="13.453125" style="12" bestFit="1" customWidth="1"/>
    <col min="10" max="10" width="33.453125" style="12" customWidth="1"/>
    <col min="11" max="11" width="42.1796875" style="12" customWidth="1"/>
    <col min="12" max="12" width="40.1796875" style="24" customWidth="1"/>
    <col min="13" max="13" width="21.7265625" style="12" customWidth="1"/>
    <col min="14" max="14" width="13.453125" style="12" customWidth="1"/>
    <col min="15" max="15" width="17.81640625" style="12" customWidth="1"/>
    <col min="16" max="16" width="19.54296875" style="12" customWidth="1"/>
    <col min="17" max="17" width="15.1796875" style="12" customWidth="1"/>
    <col min="18" max="18" width="14.453125" style="12" customWidth="1"/>
    <col min="19" max="19" width="21.7265625" style="22" customWidth="1"/>
    <col min="20" max="23" width="8.7265625" style="12"/>
    <col min="24" max="25" width="8.7265625" style="12" customWidth="1"/>
    <col min="26" max="16384" width="8.7265625" style="12"/>
  </cols>
  <sheetData>
    <row r="2" spans="1:19" ht="18" x14ac:dyDescent="0.35">
      <c r="D2" s="159" t="s">
        <v>33</v>
      </c>
      <c r="E2" s="159"/>
      <c r="F2" s="160" t="s">
        <v>34</v>
      </c>
      <c r="G2" s="160"/>
      <c r="H2" s="160"/>
      <c r="I2" s="160"/>
      <c r="J2" s="160"/>
      <c r="K2" s="160"/>
      <c r="L2" s="162"/>
      <c r="M2" s="162"/>
      <c r="N2" s="162"/>
      <c r="O2" s="162"/>
      <c r="P2" s="162"/>
      <c r="Q2" s="162"/>
      <c r="R2" s="162"/>
      <c r="S2" s="19" t="s">
        <v>35</v>
      </c>
    </row>
    <row r="3" spans="1:19" ht="39" x14ac:dyDescent="0.35">
      <c r="D3" s="14" t="s">
        <v>36</v>
      </c>
      <c r="E3" s="21" t="str">
        <f>IF(COUNTIF(N:N,"R")&gt;0,"R",IF(COUNTIF(N:N,"Y")&gt;0,"Y",IF(COUNTIF(N:N,"G")&gt;0,"G","Not Rated")))</f>
        <v>Y</v>
      </c>
      <c r="F3" s="161" t="s">
        <v>37</v>
      </c>
      <c r="G3" s="161"/>
      <c r="H3" s="161"/>
      <c r="I3" s="161"/>
      <c r="J3" s="161"/>
      <c r="K3" s="161"/>
      <c r="L3" s="162"/>
      <c r="M3" s="162"/>
      <c r="N3" s="162"/>
      <c r="O3" s="162"/>
      <c r="P3" s="162"/>
      <c r="Q3" s="162"/>
      <c r="R3" s="162"/>
      <c r="S3" s="19" t="s">
        <v>38</v>
      </c>
    </row>
    <row r="4" spans="1:19" ht="18" x14ac:dyDescent="0.35">
      <c r="E4" s="15"/>
      <c r="F4" s="92"/>
      <c r="G4" s="92"/>
      <c r="H4" s="92"/>
      <c r="I4" s="92"/>
      <c r="J4" s="16"/>
      <c r="K4" s="92"/>
      <c r="L4" s="93"/>
      <c r="M4" s="132"/>
      <c r="N4" s="60"/>
      <c r="O4" s="61"/>
      <c r="P4" s="94"/>
      <c r="Q4" s="62"/>
    </row>
    <row r="5" spans="1:19" ht="26" x14ac:dyDescent="0.35">
      <c r="A5" s="7" t="s">
        <v>39</v>
      </c>
      <c r="B5" s="17" t="s">
        <v>40</v>
      </c>
      <c r="C5" s="17" t="s">
        <v>41</v>
      </c>
      <c r="D5" s="18" t="s">
        <v>42</v>
      </c>
      <c r="E5" s="18" t="s">
        <v>43</v>
      </c>
      <c r="F5" s="18" t="s">
        <v>44</v>
      </c>
      <c r="G5" s="18" t="s">
        <v>45</v>
      </c>
      <c r="H5" s="18" t="s">
        <v>46</v>
      </c>
      <c r="I5" s="18" t="s">
        <v>47</v>
      </c>
      <c r="J5" s="8" t="s">
        <v>48</v>
      </c>
      <c r="K5" s="8" t="s">
        <v>49</v>
      </c>
      <c r="L5" s="8" t="s">
        <v>50</v>
      </c>
      <c r="M5" s="8" t="s">
        <v>51</v>
      </c>
      <c r="N5" s="8" t="s">
        <v>52</v>
      </c>
      <c r="O5" s="8" t="s">
        <v>53</v>
      </c>
      <c r="P5" s="9" t="s">
        <v>54</v>
      </c>
      <c r="Q5" s="8" t="s">
        <v>55</v>
      </c>
      <c r="R5" s="8" t="s">
        <v>56</v>
      </c>
      <c r="S5" s="8" t="s">
        <v>39</v>
      </c>
    </row>
    <row r="6" spans="1:19" ht="125" hidden="1" x14ac:dyDescent="0.35">
      <c r="A6" s="23" t="s">
        <v>57</v>
      </c>
      <c r="B6" s="95" t="s">
        <v>58</v>
      </c>
      <c r="C6" s="96" t="s">
        <v>59</v>
      </c>
      <c r="D6" s="28" t="s">
        <v>60</v>
      </c>
      <c r="E6" s="29"/>
      <c r="F6" s="30" t="s">
        <v>61</v>
      </c>
      <c r="G6" s="30" t="s">
        <v>61</v>
      </c>
      <c r="H6" s="30" t="s">
        <v>61</v>
      </c>
      <c r="I6" s="97" t="s">
        <v>62</v>
      </c>
      <c r="J6" s="98" t="s">
        <v>63</v>
      </c>
      <c r="K6" s="31" t="s">
        <v>64</v>
      </c>
      <c r="L6" s="31"/>
      <c r="M6" s="31"/>
      <c r="N6" s="52"/>
      <c r="O6" s="98" t="s">
        <v>65</v>
      </c>
      <c r="P6" s="31"/>
      <c r="Q6" s="31"/>
      <c r="R6" s="99"/>
      <c r="S6" s="98" t="s">
        <v>57</v>
      </c>
    </row>
    <row r="7" spans="1:19" ht="162.5" x14ac:dyDescent="0.35">
      <c r="A7" s="23" t="s">
        <v>57</v>
      </c>
      <c r="B7" s="100" t="s">
        <v>66</v>
      </c>
      <c r="C7" s="101" t="s">
        <v>67</v>
      </c>
      <c r="D7" s="32" t="s">
        <v>60</v>
      </c>
      <c r="E7" s="32" t="s">
        <v>61</v>
      </c>
      <c r="F7" s="32" t="s">
        <v>61</v>
      </c>
      <c r="G7" s="32" t="s">
        <v>61</v>
      </c>
      <c r="H7" s="32"/>
      <c r="I7" s="97" t="s">
        <v>62</v>
      </c>
      <c r="J7" s="31" t="s">
        <v>68</v>
      </c>
      <c r="K7" s="50" t="s">
        <v>69</v>
      </c>
      <c r="L7" s="31" t="s">
        <v>70</v>
      </c>
      <c r="M7" s="31"/>
      <c r="N7" s="52" t="s">
        <v>71</v>
      </c>
      <c r="O7" s="98" t="s">
        <v>65</v>
      </c>
      <c r="P7" s="31" t="s">
        <v>72</v>
      </c>
      <c r="Q7" s="31" t="s">
        <v>73</v>
      </c>
      <c r="R7" s="99">
        <v>45223</v>
      </c>
      <c r="S7" s="98" t="s">
        <v>57</v>
      </c>
    </row>
    <row r="8" spans="1:19" ht="100" x14ac:dyDescent="0.35">
      <c r="A8" s="23" t="s">
        <v>57</v>
      </c>
      <c r="B8" s="100" t="s">
        <v>66</v>
      </c>
      <c r="C8" s="101" t="s">
        <v>74</v>
      </c>
      <c r="D8" s="32" t="s">
        <v>60</v>
      </c>
      <c r="E8" s="32" t="s">
        <v>61</v>
      </c>
      <c r="F8" s="32"/>
      <c r="G8" s="32"/>
      <c r="H8" s="32"/>
      <c r="I8" s="97" t="s">
        <v>62</v>
      </c>
      <c r="J8" s="31" t="s">
        <v>75</v>
      </c>
      <c r="K8" s="102" t="s">
        <v>76</v>
      </c>
      <c r="L8" s="31" t="s">
        <v>77</v>
      </c>
      <c r="M8" s="31"/>
      <c r="N8" s="52" t="s">
        <v>78</v>
      </c>
      <c r="O8" s="98" t="s">
        <v>65</v>
      </c>
      <c r="P8" s="98"/>
      <c r="Q8" s="103"/>
      <c r="R8" s="99"/>
      <c r="S8" s="98" t="s">
        <v>57</v>
      </c>
    </row>
    <row r="9" spans="1:19" ht="75" x14ac:dyDescent="0.35">
      <c r="A9" s="23" t="s">
        <v>57</v>
      </c>
      <c r="B9" s="104" t="s">
        <v>79</v>
      </c>
      <c r="C9" s="101" t="s">
        <v>80</v>
      </c>
      <c r="D9" s="33" t="s">
        <v>60</v>
      </c>
      <c r="E9" s="33" t="s">
        <v>61</v>
      </c>
      <c r="F9" s="33" t="s">
        <v>61</v>
      </c>
      <c r="G9" s="33" t="s">
        <v>61</v>
      </c>
      <c r="H9" s="33" t="s">
        <v>61</v>
      </c>
      <c r="I9" s="97" t="s">
        <v>81</v>
      </c>
      <c r="J9" s="31" t="s">
        <v>82</v>
      </c>
      <c r="K9" s="98" t="s">
        <v>83</v>
      </c>
      <c r="L9" s="98" t="s">
        <v>84</v>
      </c>
      <c r="M9" s="98"/>
      <c r="N9" s="52" t="s">
        <v>71</v>
      </c>
      <c r="O9" s="98" t="s">
        <v>65</v>
      </c>
      <c r="P9" s="98" t="s">
        <v>85</v>
      </c>
      <c r="Q9" s="31" t="s">
        <v>73</v>
      </c>
      <c r="R9" s="99">
        <v>45215</v>
      </c>
      <c r="S9" s="98" t="s">
        <v>57</v>
      </c>
    </row>
    <row r="10" spans="1:19" ht="175" x14ac:dyDescent="0.35">
      <c r="A10" s="23" t="s">
        <v>86</v>
      </c>
      <c r="B10" s="105" t="s">
        <v>87</v>
      </c>
      <c r="C10" s="96" t="s">
        <v>88</v>
      </c>
      <c r="D10" s="34" t="s">
        <v>60</v>
      </c>
      <c r="E10" s="32" t="s">
        <v>61</v>
      </c>
      <c r="F10" s="32" t="s">
        <v>61</v>
      </c>
      <c r="G10" s="32" t="s">
        <v>61</v>
      </c>
      <c r="H10" s="32"/>
      <c r="I10" s="97" t="s">
        <v>62</v>
      </c>
      <c r="J10" s="102" t="s">
        <v>89</v>
      </c>
      <c r="K10" s="31" t="s">
        <v>90</v>
      </c>
      <c r="L10" s="31" t="s">
        <v>91</v>
      </c>
      <c r="M10" s="31"/>
      <c r="N10" s="52" t="s">
        <v>78</v>
      </c>
      <c r="O10" s="98" t="s">
        <v>65</v>
      </c>
      <c r="P10" s="98"/>
      <c r="Q10" s="103"/>
      <c r="R10" s="99"/>
      <c r="S10" s="98" t="s">
        <v>86</v>
      </c>
    </row>
    <row r="11" spans="1:19" ht="150" x14ac:dyDescent="0.35">
      <c r="A11" s="23" t="s">
        <v>92</v>
      </c>
      <c r="B11" s="100" t="s">
        <v>93</v>
      </c>
      <c r="C11" s="101" t="s">
        <v>94</v>
      </c>
      <c r="D11" s="33" t="s">
        <v>60</v>
      </c>
      <c r="E11" s="35" t="s">
        <v>61</v>
      </c>
      <c r="F11" s="33" t="s">
        <v>61</v>
      </c>
      <c r="G11" s="35" t="s">
        <v>61</v>
      </c>
      <c r="H11" s="35" t="s">
        <v>61</v>
      </c>
      <c r="I11" s="97" t="s">
        <v>62</v>
      </c>
      <c r="J11" s="31" t="s">
        <v>95</v>
      </c>
      <c r="K11" s="36" t="s">
        <v>96</v>
      </c>
      <c r="L11" s="31" t="s">
        <v>97</v>
      </c>
      <c r="M11" s="31"/>
      <c r="N11" s="52" t="s">
        <v>78</v>
      </c>
      <c r="O11" s="98" t="s">
        <v>65</v>
      </c>
      <c r="P11" s="98"/>
      <c r="Q11" s="103"/>
      <c r="R11" s="99"/>
      <c r="S11" s="98" t="s">
        <v>92</v>
      </c>
    </row>
    <row r="12" spans="1:19" ht="162.5" x14ac:dyDescent="0.35">
      <c r="A12" s="23" t="s">
        <v>92</v>
      </c>
      <c r="B12" s="100" t="s">
        <v>98</v>
      </c>
      <c r="C12" s="101" t="s">
        <v>99</v>
      </c>
      <c r="D12" s="33" t="s">
        <v>60</v>
      </c>
      <c r="E12" s="35" t="s">
        <v>61</v>
      </c>
      <c r="F12" s="35" t="s">
        <v>61</v>
      </c>
      <c r="G12" s="35" t="s">
        <v>61</v>
      </c>
      <c r="H12" s="35" t="s">
        <v>61</v>
      </c>
      <c r="I12" s="97" t="s">
        <v>62</v>
      </c>
      <c r="J12" s="36" t="s">
        <v>100</v>
      </c>
      <c r="K12" s="31" t="s">
        <v>101</v>
      </c>
      <c r="L12" s="31" t="s">
        <v>102</v>
      </c>
      <c r="M12" s="31"/>
      <c r="N12" s="52" t="s">
        <v>78</v>
      </c>
      <c r="O12" s="98" t="s">
        <v>65</v>
      </c>
      <c r="P12" s="98"/>
      <c r="Q12" s="103"/>
      <c r="R12" s="99"/>
      <c r="S12" s="98" t="s">
        <v>92</v>
      </c>
    </row>
    <row r="13" spans="1:19" ht="75" x14ac:dyDescent="0.35">
      <c r="A13" s="23" t="s">
        <v>57</v>
      </c>
      <c r="B13" s="105" t="s">
        <v>103</v>
      </c>
      <c r="C13" s="101" t="s">
        <v>104</v>
      </c>
      <c r="D13" s="32" t="s">
        <v>60</v>
      </c>
      <c r="E13" s="30" t="s">
        <v>61</v>
      </c>
      <c r="F13" s="30" t="s">
        <v>61</v>
      </c>
      <c r="G13" s="30" t="s">
        <v>61</v>
      </c>
      <c r="H13" s="30" t="s">
        <v>61</v>
      </c>
      <c r="I13" s="97" t="s">
        <v>62</v>
      </c>
      <c r="J13" s="102" t="s">
        <v>105</v>
      </c>
      <c r="K13" s="102" t="s">
        <v>106</v>
      </c>
      <c r="L13" s="31" t="s">
        <v>107</v>
      </c>
      <c r="M13" s="31"/>
      <c r="N13" s="52" t="s">
        <v>71</v>
      </c>
      <c r="O13" s="98" t="s">
        <v>108</v>
      </c>
      <c r="P13" s="98" t="s">
        <v>109</v>
      </c>
      <c r="Q13" s="103" t="s">
        <v>110</v>
      </c>
      <c r="R13" s="99" t="s">
        <v>111</v>
      </c>
      <c r="S13" s="98" t="s">
        <v>57</v>
      </c>
    </row>
    <row r="14" spans="1:19" ht="102" x14ac:dyDescent="0.35">
      <c r="A14" s="23" t="s">
        <v>57</v>
      </c>
      <c r="B14" s="100" t="s">
        <v>112</v>
      </c>
      <c r="C14" s="96" t="s">
        <v>113</v>
      </c>
      <c r="D14" s="32" t="s">
        <v>60</v>
      </c>
      <c r="E14" s="35" t="s">
        <v>61</v>
      </c>
      <c r="F14" s="35"/>
      <c r="G14" s="35" t="s">
        <v>61</v>
      </c>
      <c r="H14" s="35" t="s">
        <v>61</v>
      </c>
      <c r="I14" s="97" t="s">
        <v>62</v>
      </c>
      <c r="J14" s="36" t="s">
        <v>114</v>
      </c>
      <c r="K14" s="98" t="s">
        <v>115</v>
      </c>
      <c r="L14" s="31" t="s">
        <v>116</v>
      </c>
      <c r="M14" s="31"/>
      <c r="N14" s="52" t="s">
        <v>78</v>
      </c>
      <c r="O14" s="98" t="s">
        <v>65</v>
      </c>
      <c r="P14" s="98"/>
      <c r="Q14" s="98"/>
      <c r="R14" s="99"/>
      <c r="S14" s="98" t="s">
        <v>57</v>
      </c>
    </row>
    <row r="15" spans="1:19" ht="100" x14ac:dyDescent="0.35">
      <c r="A15" s="23" t="s">
        <v>57</v>
      </c>
      <c r="B15" s="100" t="s">
        <v>117</v>
      </c>
      <c r="C15" s="101" t="s">
        <v>118</v>
      </c>
      <c r="D15" s="33" t="s">
        <v>60</v>
      </c>
      <c r="E15" s="33" t="s">
        <v>61</v>
      </c>
      <c r="F15" s="33" t="s">
        <v>61</v>
      </c>
      <c r="G15" s="33" t="s">
        <v>61</v>
      </c>
      <c r="H15" s="33"/>
      <c r="I15" s="97" t="s">
        <v>62</v>
      </c>
      <c r="J15" s="36" t="s">
        <v>119</v>
      </c>
      <c r="K15" s="31" t="s">
        <v>120</v>
      </c>
      <c r="L15" s="31" t="s">
        <v>354</v>
      </c>
      <c r="M15" s="31"/>
      <c r="N15" s="52" t="s">
        <v>78</v>
      </c>
      <c r="O15" s="98" t="s">
        <v>65</v>
      </c>
      <c r="P15" s="98"/>
      <c r="Q15" s="103"/>
      <c r="R15" s="99"/>
      <c r="S15" s="98" t="s">
        <v>57</v>
      </c>
    </row>
    <row r="16" spans="1:19" ht="38" x14ac:dyDescent="0.35">
      <c r="A16" s="23" t="s">
        <v>57</v>
      </c>
      <c r="B16" s="106" t="s">
        <v>122</v>
      </c>
      <c r="C16" s="101" t="s">
        <v>123</v>
      </c>
      <c r="D16" s="32" t="s">
        <v>60</v>
      </c>
      <c r="E16" s="35" t="s">
        <v>61</v>
      </c>
      <c r="F16" s="35"/>
      <c r="G16" s="35" t="s">
        <v>61</v>
      </c>
      <c r="H16" s="35"/>
      <c r="I16" s="97" t="s">
        <v>62</v>
      </c>
      <c r="J16" s="31" t="s">
        <v>124</v>
      </c>
      <c r="K16" s="31" t="s">
        <v>125</v>
      </c>
      <c r="L16" s="31"/>
      <c r="M16" s="31" t="s">
        <v>126</v>
      </c>
      <c r="N16" s="52"/>
      <c r="O16" s="98" t="s">
        <v>127</v>
      </c>
      <c r="P16" s="98"/>
      <c r="Q16" s="98"/>
      <c r="R16" s="99"/>
      <c r="S16" s="98" t="s">
        <v>57</v>
      </c>
    </row>
    <row r="17" spans="1:19" ht="337.5" x14ac:dyDescent="0.35">
      <c r="A17" s="23" t="s">
        <v>57</v>
      </c>
      <c r="B17" s="107" t="s">
        <v>128</v>
      </c>
      <c r="C17" s="101" t="s">
        <v>129</v>
      </c>
      <c r="D17" s="37" t="s">
        <v>60</v>
      </c>
      <c r="E17" s="35" t="s">
        <v>61</v>
      </c>
      <c r="F17" s="35" t="s">
        <v>61</v>
      </c>
      <c r="G17" s="35" t="s">
        <v>61</v>
      </c>
      <c r="H17" s="35" t="s">
        <v>61</v>
      </c>
      <c r="I17" s="97" t="s">
        <v>62</v>
      </c>
      <c r="J17" s="36" t="s">
        <v>130</v>
      </c>
      <c r="K17" s="31" t="s">
        <v>131</v>
      </c>
      <c r="L17" s="31" t="s">
        <v>132</v>
      </c>
      <c r="M17" s="31"/>
      <c r="N17" s="52" t="s">
        <v>78</v>
      </c>
      <c r="O17" s="98" t="s">
        <v>65</v>
      </c>
      <c r="P17" s="98"/>
      <c r="Q17" s="103"/>
      <c r="R17" s="99"/>
      <c r="S17" s="98" t="s">
        <v>57</v>
      </c>
    </row>
    <row r="18" spans="1:19" ht="409.5" x14ac:dyDescent="0.35">
      <c r="A18" s="5" t="s">
        <v>133</v>
      </c>
      <c r="B18" s="107" t="s">
        <v>134</v>
      </c>
      <c r="C18" s="96" t="s">
        <v>135</v>
      </c>
      <c r="D18" s="34" t="s">
        <v>136</v>
      </c>
      <c r="E18" s="32" t="s">
        <v>61</v>
      </c>
      <c r="F18" s="32" t="s">
        <v>61</v>
      </c>
      <c r="G18" s="32" t="s">
        <v>61</v>
      </c>
      <c r="H18" s="32"/>
      <c r="I18" s="97" t="s">
        <v>62</v>
      </c>
      <c r="J18" s="86" t="s">
        <v>137</v>
      </c>
      <c r="K18" s="31" t="s">
        <v>138</v>
      </c>
      <c r="L18" s="31" t="s">
        <v>139</v>
      </c>
      <c r="M18" s="31"/>
      <c r="N18" s="52" t="s">
        <v>71</v>
      </c>
      <c r="O18" s="98" t="s">
        <v>65</v>
      </c>
      <c r="P18" s="98"/>
      <c r="Q18" s="103"/>
      <c r="R18" s="103"/>
      <c r="S18" s="98" t="s">
        <v>133</v>
      </c>
    </row>
    <row r="19" spans="1:19" ht="50" hidden="1" x14ac:dyDescent="0.35">
      <c r="A19" s="5" t="s">
        <v>140</v>
      </c>
      <c r="B19" s="104" t="s">
        <v>141</v>
      </c>
      <c r="C19" s="101" t="s">
        <v>142</v>
      </c>
      <c r="D19" s="38" t="s">
        <v>60</v>
      </c>
      <c r="E19" s="33"/>
      <c r="F19" s="33" t="s">
        <v>61</v>
      </c>
      <c r="G19" s="33" t="s">
        <v>61</v>
      </c>
      <c r="H19" s="33"/>
      <c r="I19" s="97" t="s">
        <v>143</v>
      </c>
      <c r="J19" s="39" t="s">
        <v>144</v>
      </c>
      <c r="K19" s="36" t="s">
        <v>145</v>
      </c>
      <c r="L19" s="31"/>
      <c r="M19" s="31"/>
      <c r="N19" s="52"/>
      <c r="O19" s="98" t="s">
        <v>146</v>
      </c>
      <c r="P19" s="98"/>
      <c r="Q19" s="103"/>
      <c r="R19" s="99"/>
      <c r="S19" s="98" t="s">
        <v>140</v>
      </c>
    </row>
    <row r="20" spans="1:19" ht="87.5" x14ac:dyDescent="0.35">
      <c r="A20" s="5" t="s">
        <v>147</v>
      </c>
      <c r="B20" s="100" t="s">
        <v>148</v>
      </c>
      <c r="C20" s="101" t="s">
        <v>149</v>
      </c>
      <c r="D20" s="32" t="s">
        <v>60</v>
      </c>
      <c r="E20" s="32" t="s">
        <v>61</v>
      </c>
      <c r="F20" s="32"/>
      <c r="G20" s="32"/>
      <c r="H20" s="32"/>
      <c r="I20" s="97" t="s">
        <v>150</v>
      </c>
      <c r="J20" s="40" t="s">
        <v>151</v>
      </c>
      <c r="K20" s="40" t="s">
        <v>152</v>
      </c>
      <c r="L20" s="31"/>
      <c r="M20" s="31"/>
      <c r="N20" s="52" t="s">
        <v>126</v>
      </c>
      <c r="O20" s="98" t="s">
        <v>153</v>
      </c>
      <c r="P20" s="98"/>
      <c r="Q20" s="98"/>
      <c r="R20" s="99"/>
      <c r="S20" s="98" t="s">
        <v>147</v>
      </c>
    </row>
    <row r="21" spans="1:19" ht="62.5" x14ac:dyDescent="0.35">
      <c r="A21" s="5" t="s">
        <v>147</v>
      </c>
      <c r="B21" s="106" t="s">
        <v>154</v>
      </c>
      <c r="C21" s="101" t="s">
        <v>155</v>
      </c>
      <c r="D21" s="34" t="s">
        <v>60</v>
      </c>
      <c r="E21" s="30" t="s">
        <v>61</v>
      </c>
      <c r="F21" s="30" t="s">
        <v>61</v>
      </c>
      <c r="G21" s="32"/>
      <c r="H21" s="32"/>
      <c r="I21" s="97" t="s">
        <v>150</v>
      </c>
      <c r="J21" s="31" t="s">
        <v>156</v>
      </c>
      <c r="K21" s="31" t="s">
        <v>157</v>
      </c>
      <c r="L21" s="31" t="s">
        <v>158</v>
      </c>
      <c r="M21" s="31"/>
      <c r="N21" s="52" t="s">
        <v>78</v>
      </c>
      <c r="O21" s="98" t="s">
        <v>153</v>
      </c>
      <c r="P21" s="98"/>
      <c r="Q21" s="103"/>
      <c r="R21" s="99"/>
      <c r="S21" s="98" t="s">
        <v>147</v>
      </c>
    </row>
    <row r="22" spans="1:19" ht="137.5" x14ac:dyDescent="0.35">
      <c r="A22" s="5" t="s">
        <v>147</v>
      </c>
      <c r="B22" s="100" t="s">
        <v>159</v>
      </c>
      <c r="C22" s="96" t="s">
        <v>160</v>
      </c>
      <c r="D22" s="30" t="s">
        <v>60</v>
      </c>
      <c r="E22" s="30" t="s">
        <v>61</v>
      </c>
      <c r="F22" s="30" t="s">
        <v>61</v>
      </c>
      <c r="G22" s="30" t="s">
        <v>61</v>
      </c>
      <c r="H22" s="30"/>
      <c r="I22" s="97" t="s">
        <v>150</v>
      </c>
      <c r="J22" s="31" t="s">
        <v>161</v>
      </c>
      <c r="K22" s="31" t="s">
        <v>162</v>
      </c>
      <c r="L22" s="31" t="s">
        <v>163</v>
      </c>
      <c r="M22" s="31"/>
      <c r="N22" s="52" t="s">
        <v>71</v>
      </c>
      <c r="O22" s="98" t="s">
        <v>153</v>
      </c>
      <c r="P22" s="98"/>
      <c r="Q22" s="103"/>
      <c r="R22" s="99"/>
      <c r="S22" s="98" t="s">
        <v>147</v>
      </c>
    </row>
    <row r="23" spans="1:19" ht="150" x14ac:dyDescent="0.35">
      <c r="A23" s="5" t="s">
        <v>133</v>
      </c>
      <c r="B23" s="100" t="s">
        <v>164</v>
      </c>
      <c r="C23" s="101" t="s">
        <v>165</v>
      </c>
      <c r="D23" s="32" t="s">
        <v>60</v>
      </c>
      <c r="E23" s="32" t="s">
        <v>61</v>
      </c>
      <c r="F23" s="32" t="s">
        <v>61</v>
      </c>
      <c r="G23" s="32" t="s">
        <v>61</v>
      </c>
      <c r="H23" s="32"/>
      <c r="I23" s="97" t="s">
        <v>150</v>
      </c>
      <c r="J23" s="31" t="s">
        <v>166</v>
      </c>
      <c r="K23" s="31" t="s">
        <v>167</v>
      </c>
      <c r="L23" s="31" t="s">
        <v>168</v>
      </c>
      <c r="M23" s="31"/>
      <c r="N23" s="52" t="s">
        <v>78</v>
      </c>
      <c r="O23" s="98" t="s">
        <v>65</v>
      </c>
      <c r="P23" s="98"/>
      <c r="Q23" s="103"/>
      <c r="R23" s="99"/>
      <c r="S23" s="98" t="s">
        <v>133</v>
      </c>
    </row>
    <row r="24" spans="1:19" ht="275" x14ac:dyDescent="0.35">
      <c r="A24" s="5" t="s">
        <v>133</v>
      </c>
      <c r="B24" s="105" t="s">
        <v>169</v>
      </c>
      <c r="C24" s="101" t="s">
        <v>170</v>
      </c>
      <c r="D24" s="32" t="s">
        <v>60</v>
      </c>
      <c r="E24" s="32" t="s">
        <v>61</v>
      </c>
      <c r="F24" s="32" t="s">
        <v>61</v>
      </c>
      <c r="G24" s="32" t="s">
        <v>61</v>
      </c>
      <c r="H24" s="32"/>
      <c r="I24" s="97" t="s">
        <v>150</v>
      </c>
      <c r="J24" s="31" t="s">
        <v>171</v>
      </c>
      <c r="K24" s="31" t="s">
        <v>172</v>
      </c>
      <c r="L24" s="24" t="s">
        <v>173</v>
      </c>
      <c r="M24" s="31"/>
      <c r="N24" s="52" t="s">
        <v>71</v>
      </c>
      <c r="O24" s="98" t="s">
        <v>65</v>
      </c>
      <c r="P24" s="98"/>
      <c r="Q24" s="103"/>
      <c r="R24" s="99"/>
      <c r="S24" s="98" t="s">
        <v>133</v>
      </c>
    </row>
    <row r="25" spans="1:19" ht="137.5" x14ac:dyDescent="0.35">
      <c r="A25" s="5" t="s">
        <v>133</v>
      </c>
      <c r="B25" s="105" t="s">
        <v>174</v>
      </c>
      <c r="C25" s="101" t="s">
        <v>175</v>
      </c>
      <c r="D25" s="32" t="s">
        <v>60</v>
      </c>
      <c r="E25" s="32" t="s">
        <v>61</v>
      </c>
      <c r="F25" s="32" t="s">
        <v>61</v>
      </c>
      <c r="G25" s="32" t="s">
        <v>61</v>
      </c>
      <c r="H25" s="32"/>
      <c r="I25" s="97" t="s">
        <v>150</v>
      </c>
      <c r="J25" s="41" t="s">
        <v>176</v>
      </c>
      <c r="K25" s="31" t="s">
        <v>177</v>
      </c>
      <c r="L25" s="31" t="s">
        <v>178</v>
      </c>
      <c r="M25" s="31"/>
      <c r="N25" s="52" t="s">
        <v>71</v>
      </c>
      <c r="O25" s="98" t="s">
        <v>65</v>
      </c>
      <c r="P25" s="98"/>
      <c r="Q25" s="103"/>
      <c r="R25" s="99"/>
      <c r="S25" s="98" t="s">
        <v>133</v>
      </c>
    </row>
    <row r="26" spans="1:19" ht="125" x14ac:dyDescent="0.35">
      <c r="A26" s="5" t="s">
        <v>147</v>
      </c>
      <c r="B26" s="105" t="s">
        <v>179</v>
      </c>
      <c r="C26" s="96" t="s">
        <v>180</v>
      </c>
      <c r="D26" s="32" t="s">
        <v>60</v>
      </c>
      <c r="E26" s="30" t="s">
        <v>61</v>
      </c>
      <c r="F26" s="30" t="s">
        <v>61</v>
      </c>
      <c r="G26" s="30" t="s">
        <v>61</v>
      </c>
      <c r="H26" s="32"/>
      <c r="I26" s="97" t="s">
        <v>150</v>
      </c>
      <c r="J26" s="31" t="s">
        <v>181</v>
      </c>
      <c r="K26" s="31" t="s">
        <v>182</v>
      </c>
      <c r="L26" s="31" t="s">
        <v>183</v>
      </c>
      <c r="M26" s="31"/>
      <c r="N26" s="52" t="s">
        <v>78</v>
      </c>
      <c r="O26" s="98" t="s">
        <v>65</v>
      </c>
      <c r="P26" s="98"/>
      <c r="Q26" s="103"/>
      <c r="R26" s="99">
        <v>45208</v>
      </c>
      <c r="S26" s="98" t="s">
        <v>147</v>
      </c>
    </row>
    <row r="27" spans="1:19" ht="287.5" x14ac:dyDescent="0.35">
      <c r="A27" s="5" t="s">
        <v>133</v>
      </c>
      <c r="B27" s="105" t="s">
        <v>184</v>
      </c>
      <c r="C27" s="101" t="s">
        <v>185</v>
      </c>
      <c r="D27" s="32" t="s">
        <v>60</v>
      </c>
      <c r="E27" s="32" t="s">
        <v>61</v>
      </c>
      <c r="F27" s="32" t="s">
        <v>61</v>
      </c>
      <c r="G27" s="32" t="s">
        <v>61</v>
      </c>
      <c r="H27" s="32"/>
      <c r="I27" s="97" t="s">
        <v>150</v>
      </c>
      <c r="J27" s="97" t="s">
        <v>186</v>
      </c>
      <c r="K27" s="97" t="s">
        <v>187</v>
      </c>
      <c r="L27" s="31" t="s">
        <v>188</v>
      </c>
      <c r="M27" s="31"/>
      <c r="N27" s="52" t="s">
        <v>78</v>
      </c>
      <c r="O27" s="98" t="s">
        <v>65</v>
      </c>
      <c r="P27" s="98"/>
      <c r="Q27" s="103"/>
      <c r="R27" s="99"/>
      <c r="S27" s="98" t="s">
        <v>133</v>
      </c>
    </row>
    <row r="28" spans="1:19" ht="409.5" x14ac:dyDescent="0.35">
      <c r="A28" s="5" t="s">
        <v>133</v>
      </c>
      <c r="B28" s="105" t="s">
        <v>189</v>
      </c>
      <c r="C28" s="101" t="s">
        <v>190</v>
      </c>
      <c r="D28" s="28" t="s">
        <v>60</v>
      </c>
      <c r="E28" s="30" t="s">
        <v>61</v>
      </c>
      <c r="F28" s="30" t="s">
        <v>61</v>
      </c>
      <c r="G28" s="30" t="s">
        <v>61</v>
      </c>
      <c r="H28" s="30" t="s">
        <v>61</v>
      </c>
      <c r="I28" s="97" t="s">
        <v>150</v>
      </c>
      <c r="J28" s="102" t="s">
        <v>191</v>
      </c>
      <c r="K28" s="31" t="s">
        <v>192</v>
      </c>
      <c r="L28" s="31" t="s">
        <v>193</v>
      </c>
      <c r="M28" s="31"/>
      <c r="N28" s="52" t="s">
        <v>78</v>
      </c>
      <c r="O28" s="98" t="s">
        <v>65</v>
      </c>
      <c r="P28" s="98"/>
      <c r="Q28" s="103"/>
      <c r="R28" s="99"/>
      <c r="S28" s="98" t="s">
        <v>133</v>
      </c>
    </row>
    <row r="29" spans="1:19" ht="409.5" x14ac:dyDescent="0.35">
      <c r="A29" s="5" t="s">
        <v>133</v>
      </c>
      <c r="B29" s="105" t="s">
        <v>194</v>
      </c>
      <c r="C29" s="101" t="s">
        <v>195</v>
      </c>
      <c r="D29" s="28" t="s">
        <v>60</v>
      </c>
      <c r="E29" s="30" t="s">
        <v>61</v>
      </c>
      <c r="F29" s="30" t="s">
        <v>61</v>
      </c>
      <c r="G29" s="30" t="s">
        <v>61</v>
      </c>
      <c r="H29" s="30"/>
      <c r="I29" s="97" t="s">
        <v>150</v>
      </c>
      <c r="J29" s="102" t="s">
        <v>196</v>
      </c>
      <c r="K29" s="31" t="s">
        <v>197</v>
      </c>
      <c r="L29" s="31" t="s">
        <v>198</v>
      </c>
      <c r="M29" s="31"/>
      <c r="N29" s="52" t="s">
        <v>78</v>
      </c>
      <c r="O29" s="98" t="s">
        <v>65</v>
      </c>
      <c r="P29" s="98"/>
      <c r="Q29" s="103"/>
      <c r="R29" s="99"/>
      <c r="S29" s="98" t="s">
        <v>133</v>
      </c>
    </row>
    <row r="30" spans="1:19" ht="37.5" hidden="1" x14ac:dyDescent="0.35">
      <c r="A30" s="5" t="s">
        <v>133</v>
      </c>
      <c r="B30" s="104" t="s">
        <v>184</v>
      </c>
      <c r="C30" s="96" t="s">
        <v>199</v>
      </c>
      <c r="D30" s="32" t="s">
        <v>60</v>
      </c>
      <c r="E30" s="32"/>
      <c r="F30" s="32"/>
      <c r="G30" s="32" t="s">
        <v>61</v>
      </c>
      <c r="H30" s="32" t="s">
        <v>61</v>
      </c>
      <c r="I30" s="97" t="s">
        <v>150</v>
      </c>
      <c r="J30" s="31" t="s">
        <v>200</v>
      </c>
      <c r="K30" s="31" t="s">
        <v>201</v>
      </c>
      <c r="L30" s="31"/>
      <c r="M30" s="31"/>
      <c r="N30" s="52"/>
      <c r="O30" s="98" t="s">
        <v>202</v>
      </c>
      <c r="P30" s="98"/>
      <c r="Q30" s="98"/>
      <c r="R30" s="99"/>
      <c r="S30" s="98" t="s">
        <v>133</v>
      </c>
    </row>
    <row r="31" spans="1:19" ht="187.5" x14ac:dyDescent="0.35">
      <c r="A31" s="5" t="s">
        <v>147</v>
      </c>
      <c r="B31" s="105" t="s">
        <v>203</v>
      </c>
      <c r="C31" s="101" t="s">
        <v>204</v>
      </c>
      <c r="D31" s="30" t="s">
        <v>60</v>
      </c>
      <c r="E31" s="35" t="s">
        <v>61</v>
      </c>
      <c r="F31" s="35"/>
      <c r="G31" s="35" t="s">
        <v>61</v>
      </c>
      <c r="H31" s="35"/>
      <c r="I31" s="97" t="s">
        <v>150</v>
      </c>
      <c r="J31" s="31" t="s">
        <v>205</v>
      </c>
      <c r="K31" s="31" t="s">
        <v>206</v>
      </c>
      <c r="L31" s="31" t="s">
        <v>207</v>
      </c>
      <c r="M31" s="31"/>
      <c r="N31" s="52" t="s">
        <v>78</v>
      </c>
      <c r="O31" s="98" t="s">
        <v>202</v>
      </c>
      <c r="P31" s="98"/>
      <c r="Q31" s="98" t="s">
        <v>73</v>
      </c>
      <c r="R31" s="99"/>
      <c r="S31" s="98" t="s">
        <v>147</v>
      </c>
    </row>
    <row r="32" spans="1:19" ht="125" x14ac:dyDescent="0.35">
      <c r="A32" s="5" t="s">
        <v>133</v>
      </c>
      <c r="B32" s="104" t="s">
        <v>208</v>
      </c>
      <c r="C32" s="101" t="s">
        <v>209</v>
      </c>
      <c r="D32" s="32" t="s">
        <v>60</v>
      </c>
      <c r="E32" s="35" t="s">
        <v>61</v>
      </c>
      <c r="F32" s="35" t="s">
        <v>61</v>
      </c>
      <c r="G32" s="35" t="s">
        <v>61</v>
      </c>
      <c r="H32" s="35"/>
      <c r="I32" s="97" t="s">
        <v>210</v>
      </c>
      <c r="J32" s="31" t="s">
        <v>211</v>
      </c>
      <c r="K32" s="31" t="s">
        <v>212</v>
      </c>
      <c r="L32" s="31" t="s">
        <v>213</v>
      </c>
      <c r="M32" s="31"/>
      <c r="N32" s="52" t="s">
        <v>78</v>
      </c>
      <c r="O32" s="98"/>
      <c r="P32" s="98"/>
      <c r="Q32" s="103"/>
      <c r="R32" s="99"/>
      <c r="S32" s="98" t="s">
        <v>133</v>
      </c>
    </row>
    <row r="33" spans="1:19" ht="125" x14ac:dyDescent="0.35">
      <c r="A33" s="5" t="s">
        <v>147</v>
      </c>
      <c r="B33" s="104" t="s">
        <v>214</v>
      </c>
      <c r="C33" s="101" t="s">
        <v>215</v>
      </c>
      <c r="D33" s="42" t="s">
        <v>60</v>
      </c>
      <c r="E33" s="35" t="s">
        <v>61</v>
      </c>
      <c r="F33" s="35" t="s">
        <v>61</v>
      </c>
      <c r="G33" s="35" t="s">
        <v>61</v>
      </c>
      <c r="H33" s="35"/>
      <c r="I33" s="97" t="s">
        <v>210</v>
      </c>
      <c r="J33" s="31" t="s">
        <v>216</v>
      </c>
      <c r="K33" s="31" t="s">
        <v>217</v>
      </c>
      <c r="L33" s="31" t="s">
        <v>218</v>
      </c>
      <c r="M33" s="31"/>
      <c r="N33" s="52" t="s">
        <v>78</v>
      </c>
      <c r="O33" s="98" t="s">
        <v>202</v>
      </c>
      <c r="P33" s="98"/>
      <c r="Q33" s="103"/>
      <c r="R33" s="99"/>
      <c r="S33" s="98" t="s">
        <v>147</v>
      </c>
    </row>
    <row r="34" spans="1:19" ht="137.5" x14ac:dyDescent="0.35">
      <c r="A34" s="5" t="s">
        <v>219</v>
      </c>
      <c r="B34" s="108" t="s">
        <v>220</v>
      </c>
      <c r="C34" s="96" t="s">
        <v>221</v>
      </c>
      <c r="D34" s="32" t="s">
        <v>136</v>
      </c>
      <c r="E34" s="33" t="s">
        <v>61</v>
      </c>
      <c r="F34" s="33" t="s">
        <v>61</v>
      </c>
      <c r="G34" s="33" t="s">
        <v>61</v>
      </c>
      <c r="H34" s="33"/>
      <c r="I34" s="97" t="s">
        <v>210</v>
      </c>
      <c r="J34" s="31" t="s">
        <v>222</v>
      </c>
      <c r="K34" s="102" t="s">
        <v>223</v>
      </c>
      <c r="L34" s="31" t="s">
        <v>357</v>
      </c>
      <c r="M34" s="31"/>
      <c r="N34" s="52" t="s">
        <v>78</v>
      </c>
      <c r="O34" s="98" t="s">
        <v>225</v>
      </c>
      <c r="P34" s="98"/>
      <c r="Q34" s="103"/>
      <c r="R34" s="99"/>
      <c r="S34" s="98" t="s">
        <v>219</v>
      </c>
    </row>
    <row r="35" spans="1:19" ht="409.5" x14ac:dyDescent="0.35">
      <c r="A35" s="5" t="s">
        <v>133</v>
      </c>
      <c r="B35" s="106" t="s">
        <v>226</v>
      </c>
      <c r="C35" s="101" t="s">
        <v>227</v>
      </c>
      <c r="D35" s="30" t="s">
        <v>60</v>
      </c>
      <c r="E35" s="35" t="s">
        <v>61</v>
      </c>
      <c r="F35" s="30" t="s">
        <v>61</v>
      </c>
      <c r="G35" s="35" t="s">
        <v>61</v>
      </c>
      <c r="H35" s="35"/>
      <c r="I35" s="97" t="s">
        <v>228</v>
      </c>
      <c r="J35" s="102" t="s">
        <v>229</v>
      </c>
      <c r="K35" s="102" t="s">
        <v>230</v>
      </c>
      <c r="L35" s="31" t="s">
        <v>231</v>
      </c>
      <c r="M35" s="31"/>
      <c r="N35" s="52" t="s">
        <v>78</v>
      </c>
      <c r="O35" s="98" t="s">
        <v>202</v>
      </c>
      <c r="P35" s="98"/>
      <c r="Q35" s="103"/>
      <c r="R35" s="99"/>
      <c r="S35" s="98" t="s">
        <v>133</v>
      </c>
    </row>
    <row r="36" spans="1:19" ht="87.5" hidden="1" x14ac:dyDescent="0.35">
      <c r="A36" s="5" t="s">
        <v>219</v>
      </c>
      <c r="B36" s="104" t="s">
        <v>232</v>
      </c>
      <c r="C36" s="101" t="s">
        <v>233</v>
      </c>
      <c r="D36" s="34" t="s">
        <v>136</v>
      </c>
      <c r="E36" s="31"/>
      <c r="F36" s="32" t="s">
        <v>61</v>
      </c>
      <c r="G36" s="32" t="s">
        <v>61</v>
      </c>
      <c r="H36" s="32"/>
      <c r="I36" s="97" t="s">
        <v>234</v>
      </c>
      <c r="J36" s="102" t="s">
        <v>235</v>
      </c>
      <c r="K36" s="31" t="s">
        <v>236</v>
      </c>
      <c r="L36" s="31"/>
      <c r="M36" s="31"/>
      <c r="N36" s="52"/>
      <c r="O36" s="98" t="s">
        <v>65</v>
      </c>
      <c r="P36" s="98"/>
      <c r="Q36" s="103"/>
      <c r="R36" s="99"/>
      <c r="S36" s="98" t="s">
        <v>219</v>
      </c>
    </row>
    <row r="37" spans="1:19" ht="62.5" x14ac:dyDescent="0.35">
      <c r="A37" s="5" t="s">
        <v>219</v>
      </c>
      <c r="B37" s="104" t="s">
        <v>237</v>
      </c>
      <c r="C37" s="101" t="s">
        <v>238</v>
      </c>
      <c r="D37" s="34" t="s">
        <v>136</v>
      </c>
      <c r="E37" s="32" t="s">
        <v>61</v>
      </c>
      <c r="F37" s="32" t="s">
        <v>61</v>
      </c>
      <c r="G37" s="32" t="s">
        <v>61</v>
      </c>
      <c r="H37" s="32"/>
      <c r="I37" s="97" t="s">
        <v>239</v>
      </c>
      <c r="J37" s="40" t="s">
        <v>240</v>
      </c>
      <c r="K37" s="31" t="s">
        <v>241</v>
      </c>
      <c r="L37" s="31" t="s">
        <v>359</v>
      </c>
      <c r="M37" s="31"/>
      <c r="N37" s="52" t="s">
        <v>71</v>
      </c>
      <c r="O37" s="98" t="s">
        <v>65</v>
      </c>
      <c r="P37" s="98"/>
      <c r="Q37" s="103"/>
      <c r="R37" s="99"/>
      <c r="S37" s="98" t="s">
        <v>219</v>
      </c>
    </row>
    <row r="38" spans="1:19" ht="212.5" x14ac:dyDescent="0.35">
      <c r="A38" s="5" t="s">
        <v>133</v>
      </c>
      <c r="B38" s="106" t="s">
        <v>243</v>
      </c>
      <c r="C38" s="96" t="s">
        <v>244</v>
      </c>
      <c r="D38" s="34" t="s">
        <v>136</v>
      </c>
      <c r="E38" s="30" t="s">
        <v>61</v>
      </c>
      <c r="F38" s="30" t="s">
        <v>61</v>
      </c>
      <c r="G38" s="30" t="s">
        <v>61</v>
      </c>
      <c r="H38" s="30"/>
      <c r="I38" s="97" t="s">
        <v>62</v>
      </c>
      <c r="J38" s="102" t="s">
        <v>245</v>
      </c>
      <c r="K38" s="102" t="s">
        <v>246</v>
      </c>
      <c r="L38" s="31" t="s">
        <v>247</v>
      </c>
      <c r="M38" s="31"/>
      <c r="N38" s="52" t="s">
        <v>78</v>
      </c>
      <c r="O38" s="98" t="s">
        <v>65</v>
      </c>
      <c r="P38" s="98" t="s">
        <v>248</v>
      </c>
      <c r="Q38" s="103" t="s">
        <v>73</v>
      </c>
      <c r="R38" s="99" t="s">
        <v>249</v>
      </c>
      <c r="S38" s="98" t="s">
        <v>133</v>
      </c>
    </row>
    <row r="39" spans="1:19" ht="150" x14ac:dyDescent="0.35">
      <c r="A39" s="5" t="s">
        <v>219</v>
      </c>
      <c r="B39" s="109" t="s">
        <v>250</v>
      </c>
      <c r="C39" s="101" t="s">
        <v>251</v>
      </c>
      <c r="D39" s="32" t="s">
        <v>60</v>
      </c>
      <c r="E39" s="33" t="s">
        <v>61</v>
      </c>
      <c r="F39" s="33" t="s">
        <v>61</v>
      </c>
      <c r="G39" s="33" t="s">
        <v>61</v>
      </c>
      <c r="H39" s="33"/>
      <c r="I39" s="97" t="s">
        <v>228</v>
      </c>
      <c r="J39" s="36" t="s">
        <v>252</v>
      </c>
      <c r="K39" s="31" t="s">
        <v>253</v>
      </c>
      <c r="L39" s="31" t="s">
        <v>254</v>
      </c>
      <c r="M39" s="31"/>
      <c r="N39" s="52" t="s">
        <v>78</v>
      </c>
      <c r="O39" s="98" t="s">
        <v>65</v>
      </c>
      <c r="P39" s="98" t="s">
        <v>255</v>
      </c>
      <c r="Q39" s="103" t="s">
        <v>256</v>
      </c>
      <c r="R39" s="99" t="s">
        <v>249</v>
      </c>
      <c r="S39" s="98" t="s">
        <v>219</v>
      </c>
    </row>
    <row r="40" spans="1:19" ht="87.5" x14ac:dyDescent="0.35">
      <c r="A40" s="5" t="s">
        <v>57</v>
      </c>
      <c r="B40" s="108" t="s">
        <v>257</v>
      </c>
      <c r="C40" s="101" t="s">
        <v>258</v>
      </c>
      <c r="D40" s="37" t="s">
        <v>60</v>
      </c>
      <c r="E40" s="35" t="s">
        <v>61</v>
      </c>
      <c r="F40" s="35" t="s">
        <v>61</v>
      </c>
      <c r="G40" s="35" t="s">
        <v>61</v>
      </c>
      <c r="H40" s="33" t="s">
        <v>61</v>
      </c>
      <c r="I40" s="97" t="s">
        <v>259</v>
      </c>
      <c r="J40" s="31" t="s">
        <v>260</v>
      </c>
      <c r="K40" s="31" t="s">
        <v>261</v>
      </c>
      <c r="L40" s="31" t="s">
        <v>262</v>
      </c>
      <c r="M40" s="31"/>
      <c r="N40" s="52" t="s">
        <v>78</v>
      </c>
      <c r="O40" s="98" t="s">
        <v>263</v>
      </c>
      <c r="P40" s="98"/>
      <c r="Q40" s="103"/>
      <c r="R40" s="99"/>
      <c r="S40" s="98" t="s">
        <v>57</v>
      </c>
    </row>
    <row r="41" spans="1:19" ht="113" x14ac:dyDescent="0.35">
      <c r="A41" s="5" t="s">
        <v>147</v>
      </c>
      <c r="B41" s="108" t="s">
        <v>264</v>
      </c>
      <c r="C41" s="101" t="s">
        <v>265</v>
      </c>
      <c r="D41" s="38" t="s">
        <v>60</v>
      </c>
      <c r="E41" s="33" t="s">
        <v>61</v>
      </c>
      <c r="F41" s="33" t="s">
        <v>61</v>
      </c>
      <c r="G41" s="33" t="s">
        <v>61</v>
      </c>
      <c r="H41" s="33"/>
      <c r="I41" s="97" t="s">
        <v>266</v>
      </c>
      <c r="J41" s="36" t="s">
        <v>267</v>
      </c>
      <c r="K41" s="97" t="s">
        <v>268</v>
      </c>
      <c r="L41" s="31" t="s">
        <v>269</v>
      </c>
      <c r="M41" s="31"/>
      <c r="N41" s="52" t="s">
        <v>78</v>
      </c>
      <c r="O41" s="98" t="s">
        <v>202</v>
      </c>
      <c r="P41" s="98"/>
      <c r="Q41" s="103"/>
      <c r="R41" s="99"/>
      <c r="S41" s="98" t="s">
        <v>147</v>
      </c>
    </row>
    <row r="42" spans="1:19" ht="25" x14ac:dyDescent="0.35">
      <c r="A42" s="5" t="s">
        <v>270</v>
      </c>
      <c r="B42" s="104" t="s">
        <v>271</v>
      </c>
      <c r="C42" s="101" t="s">
        <v>272</v>
      </c>
      <c r="D42" s="38" t="s">
        <v>60</v>
      </c>
      <c r="E42" s="33" t="s">
        <v>61</v>
      </c>
      <c r="F42" s="33" t="s">
        <v>61</v>
      </c>
      <c r="G42" s="33" t="s">
        <v>61</v>
      </c>
      <c r="H42" s="32" t="s">
        <v>61</v>
      </c>
      <c r="I42" s="97" t="s">
        <v>273</v>
      </c>
      <c r="J42" s="31" t="s">
        <v>274</v>
      </c>
      <c r="K42" s="31" t="s">
        <v>275</v>
      </c>
      <c r="L42" s="31"/>
      <c r="M42" s="31"/>
      <c r="N42" s="52" t="s">
        <v>78</v>
      </c>
      <c r="O42" s="98" t="s">
        <v>276</v>
      </c>
      <c r="P42" s="98"/>
      <c r="Q42" s="103"/>
      <c r="R42" s="99"/>
      <c r="S42" s="98" t="s">
        <v>270</v>
      </c>
    </row>
  </sheetData>
  <sheetProtection formatCells="0" formatColumns="0" formatRows="0" insertColumns="0" insertRows="0" insertHyperlinks="0" selectLockedCells="1" sort="0" autoFilter="0" pivotTables="0"/>
  <autoFilter ref="A5:S42" xr:uid="{00000000-0001-0000-0100-000000000000}">
    <filterColumn colId="4">
      <customFilters>
        <customFilter operator="notEqual" val=" "/>
      </customFilters>
    </filterColumn>
  </autoFilter>
  <mergeCells count="4">
    <mergeCell ref="D2:E2"/>
    <mergeCell ref="F2:K2"/>
    <mergeCell ref="F3:K3"/>
    <mergeCell ref="L2:R3"/>
  </mergeCells>
  <phoneticPr fontId="29" type="noConversion"/>
  <conditionalFormatting sqref="F9:F10 F36 F38:F39 F24 F28:F34 F12:F22 N6:N42">
    <cfRule type="cellIs" dxfId="22" priority="71" stopIfTrue="1" operator="equal">
      <formula>"R"</formula>
    </cfRule>
    <cfRule type="cellIs" dxfId="21" priority="72" stopIfTrue="1" operator="equal">
      <formula>"Y"</formula>
    </cfRule>
    <cfRule type="cellIs" dxfId="20" priority="73" stopIfTrue="1" operator="equal">
      <formula>"G"</formula>
    </cfRule>
  </conditionalFormatting>
  <conditionalFormatting sqref="F27">
    <cfRule type="cellIs" dxfId="19" priority="50" stopIfTrue="1" operator="equal">
      <formula>"R"</formula>
    </cfRule>
    <cfRule type="cellIs" dxfId="18" priority="51" stopIfTrue="1" operator="equal">
      <formula>"Y"</formula>
    </cfRule>
    <cfRule type="cellIs" dxfId="17" priority="52" stopIfTrue="1" operator="equal">
      <formula>"G"</formula>
    </cfRule>
  </conditionalFormatting>
  <conditionalFormatting sqref="E3">
    <cfRule type="cellIs" dxfId="16" priority="40" operator="equal">
      <formula>"Not Rated"</formula>
    </cfRule>
    <cfRule type="cellIs" dxfId="15" priority="41" operator="equal">
      <formula>"G"</formula>
    </cfRule>
    <cfRule type="cellIs" dxfId="14" priority="42" operator="equal">
      <formula>"Y"</formula>
    </cfRule>
    <cfRule type="cellIs" dxfId="13" priority="43" operator="equal">
      <formula>"R"</formula>
    </cfRule>
  </conditionalFormatting>
  <dataValidations count="2">
    <dataValidation allowBlank="1" showInputMessage="1" showErrorMessage="1" errorTitle="Fehler / Error" error="Der eingegebene Wert ist ungültig / the input value is invalid" sqref="F6 F9:F10 F12:F42" xr:uid="{00000000-0002-0000-0100-000001000000}"/>
    <dataValidation type="list" allowBlank="1" showInputMessage="1" showErrorMessage="1" errorTitle="Fehler / Error" error="Der eingegebene Wert ist ungültig / the input value is invalid" sqref="N6:N42" xr:uid="{00000000-0002-0000-0100-000000000000}">
      <formula1>"G,Y,R,NA"</formula1>
    </dataValidation>
  </dataValidations>
  <pageMargins left="0.7" right="0.7" top="0.75" bottom="0.75" header="0.3" footer="0.3"/>
  <pageSetup paperSize="9" scale="33" fitToHeight="5" orientation="portrait" r:id="rId1"/>
  <headerFooter>
    <oddHeader xml:space="preserve">&amp;RPage &amp;P  of  &amp;N </oddHeader>
    <oddFooter>&amp;L&amp;8QSC-SUP-04; Ver 3.4
BGSW/BGSV&amp;C&amp;8© This is the exclusive property of Bosch Global Software Technologies Private Limited.  
Without their consent, it may not be reproduced or given to third parties.
15/07/2022&amp;R&amp;8Internal   &amp;F</oddFooter>
  </headerFooter>
  <rowBreaks count="5" manualBreakCount="5">
    <brk id="14" max="17" man="1"/>
    <brk id="22" max="16383" man="1"/>
    <brk id="27" max="17" man="1"/>
    <brk id="32" max="17" man="1"/>
    <brk id="41" max="17" man="1"/>
  </rowBreaks>
  <drawing r:id="rId2"/>
  <legacyDrawing r:id="rId3"/>
  <oleObjects>
    <mc:AlternateContent xmlns:mc="http://schemas.openxmlformats.org/markup-compatibility/2006">
      <mc:Choice Requires="x14">
        <oleObject progId="Word.Picture.8" shapeId="1029" r:id="rId4">
          <objectPr defaultSize="0" autoPict="0" r:id="rId5">
            <anchor moveWithCells="1" sizeWithCells="1">
              <from>
                <xdr:col>11</xdr:col>
                <xdr:colOff>107950</xdr:colOff>
                <xdr:row>2</xdr:row>
                <xdr:rowOff>0</xdr:rowOff>
              </from>
              <to>
                <xdr:col>11</xdr:col>
                <xdr:colOff>565150</xdr:colOff>
                <xdr:row>2</xdr:row>
                <xdr:rowOff>0</xdr:rowOff>
              </to>
            </anchor>
          </objectPr>
        </oleObject>
      </mc:Choice>
      <mc:Fallback>
        <oleObject progId="Word.Picture.8" shapeId="1029" r:id="rId4"/>
      </mc:Fallback>
    </mc:AlternateContent>
    <mc:AlternateContent xmlns:mc="http://schemas.openxmlformats.org/markup-compatibility/2006">
      <mc:Choice Requires="x14">
        <oleObject progId="Word.Picture.8" shapeId="1030" r:id="rId6">
          <objectPr defaultSize="0" autoPict="0" r:id="rId5">
            <anchor moveWithCells="1" sizeWithCells="1">
              <from>
                <xdr:col>11</xdr:col>
                <xdr:colOff>107950</xdr:colOff>
                <xdr:row>2</xdr:row>
                <xdr:rowOff>0</xdr:rowOff>
              </from>
              <to>
                <xdr:col>11</xdr:col>
                <xdr:colOff>565150</xdr:colOff>
                <xdr:row>2</xdr:row>
                <xdr:rowOff>0</xdr:rowOff>
              </to>
            </anchor>
          </objectPr>
        </oleObject>
      </mc:Choice>
      <mc:Fallback>
        <oleObject progId="Word.Picture.8" shapeId="1030"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I34"/>
  <sheetViews>
    <sheetView showGridLines="0" zoomScaleNormal="100" workbookViewId="0">
      <selection activeCell="C27" sqref="C27"/>
    </sheetView>
  </sheetViews>
  <sheetFormatPr defaultColWidth="8.81640625" defaultRowHeight="12.5" x14ac:dyDescent="0.25"/>
  <cols>
    <col min="1" max="1" width="28.81640625" style="10" customWidth="1"/>
    <col min="2" max="2" width="26.54296875" style="10" customWidth="1"/>
    <col min="3" max="3" width="10.7265625" style="10" customWidth="1"/>
    <col min="4" max="4" width="19" style="10" customWidth="1"/>
    <col min="5" max="5" width="21.453125" style="10" customWidth="1"/>
    <col min="6" max="6" width="28.453125" style="10" customWidth="1"/>
    <col min="7" max="7" width="8.81640625" style="10"/>
    <col min="8" max="8" width="44.453125" style="10" customWidth="1"/>
    <col min="9" max="9" width="8.81640625" style="10"/>
    <col min="10" max="10" width="30.54296875" style="10" customWidth="1"/>
    <col min="11" max="11" width="15" style="10" customWidth="1"/>
    <col min="12" max="12" width="8.81640625" style="10"/>
    <col min="13" max="13" width="21.81640625" style="10" customWidth="1"/>
    <col min="14" max="14" width="19.453125" style="10" customWidth="1"/>
    <col min="15" max="16384" width="8.81640625" style="10"/>
  </cols>
  <sheetData>
    <row r="1" spans="1:6" ht="30.65" customHeight="1" x14ac:dyDescent="0.25">
      <c r="A1" s="166" t="s">
        <v>277</v>
      </c>
      <c r="B1" s="166"/>
      <c r="C1" s="166"/>
      <c r="D1" s="166"/>
      <c r="E1" s="166"/>
      <c r="F1" s="165" t="s">
        <v>278</v>
      </c>
    </row>
    <row r="2" spans="1:6" ht="23.5" customHeight="1" x14ac:dyDescent="0.25">
      <c r="A2" s="45" t="s">
        <v>279</v>
      </c>
      <c r="B2" s="167">
        <f>'Cover Sheet'!B9:D9</f>
        <v>0</v>
      </c>
      <c r="C2" s="167"/>
      <c r="D2" s="45" t="s">
        <v>280</v>
      </c>
      <c r="E2" s="110">
        <f>'Cover Sheet'!B9:B9</f>
        <v>0</v>
      </c>
      <c r="F2" s="165"/>
    </row>
    <row r="3" spans="1:6" ht="27.65" customHeight="1" x14ac:dyDescent="0.25">
      <c r="A3" s="45" t="s">
        <v>281</v>
      </c>
      <c r="B3" s="167" t="str">
        <f>'Cover Sheet'!B8:D8</f>
        <v>Ashok Mallya</v>
      </c>
      <c r="C3" s="167"/>
      <c r="D3" s="46" t="s">
        <v>282</v>
      </c>
      <c r="E3" s="59" t="str">
        <f>'Cover Sheet'!B10:B10</f>
        <v>13.12.2023</v>
      </c>
      <c r="F3" s="165"/>
    </row>
    <row r="4" spans="1:6" ht="23.5" customHeight="1" x14ac:dyDescent="0.25">
      <c r="A4" s="53" t="s">
        <v>283</v>
      </c>
      <c r="B4" s="168" t="str">
        <f>SW_QG!E3</f>
        <v>Y</v>
      </c>
      <c r="C4" s="169"/>
      <c r="D4" s="169"/>
      <c r="E4" s="170"/>
      <c r="F4" s="165"/>
    </row>
    <row r="5" spans="1:6" ht="15" customHeight="1" x14ac:dyDescent="0.3">
      <c r="A5" s="43" t="s">
        <v>284</v>
      </c>
      <c r="B5" s="43" t="s">
        <v>50</v>
      </c>
      <c r="C5" s="43" t="s">
        <v>285</v>
      </c>
      <c r="D5" s="44" t="s">
        <v>54</v>
      </c>
      <c r="E5" s="43" t="s">
        <v>286</v>
      </c>
      <c r="F5" s="11" t="s">
        <v>287</v>
      </c>
    </row>
    <row r="6" spans="1:6" hidden="1" x14ac:dyDescent="0.25">
      <c r="A6" s="111"/>
      <c r="B6" s="112"/>
      <c r="C6" s="112"/>
      <c r="D6" s="112"/>
      <c r="E6" s="112"/>
      <c r="F6" s="113"/>
    </row>
    <row r="7" spans="1:6" ht="20.149999999999999" customHeight="1" x14ac:dyDescent="0.25">
      <c r="A7" s="114"/>
      <c r="B7" s="115"/>
      <c r="C7" s="36"/>
      <c r="D7" s="115"/>
      <c r="E7" s="115"/>
      <c r="F7" s="99"/>
    </row>
    <row r="8" spans="1:6" ht="20.149999999999999" customHeight="1" x14ac:dyDescent="0.25">
      <c r="A8" s="116"/>
      <c r="B8" s="117"/>
      <c r="C8" s="27"/>
      <c r="D8" s="117"/>
      <c r="E8" s="117"/>
      <c r="F8" s="117"/>
    </row>
    <row r="9" spans="1:6" ht="20.149999999999999" customHeight="1" x14ac:dyDescent="0.25">
      <c r="A9" s="163" t="s">
        <v>288</v>
      </c>
      <c r="B9" s="163"/>
      <c r="C9" s="163"/>
      <c r="D9" s="163"/>
      <c r="E9" s="163"/>
      <c r="F9" s="163"/>
    </row>
    <row r="10" spans="1:6" ht="20.149999999999999" customHeight="1" x14ac:dyDescent="0.25">
      <c r="A10" s="164"/>
      <c r="B10" s="164"/>
      <c r="C10" s="164"/>
      <c r="D10" s="164"/>
      <c r="E10" s="164"/>
      <c r="F10" s="164"/>
    </row>
    <row r="11" spans="1:6" ht="20.149999999999999" customHeight="1" x14ac:dyDescent="0.25">
      <c r="A11" s="164"/>
      <c r="B11" s="164"/>
      <c r="C11" s="164"/>
      <c r="D11" s="164"/>
      <c r="E11" s="164"/>
      <c r="F11" s="164"/>
    </row>
    <row r="12" spans="1:6" ht="20.149999999999999" customHeight="1" x14ac:dyDescent="0.25">
      <c r="A12" s="164"/>
      <c r="B12" s="164"/>
      <c r="C12" s="164"/>
      <c r="D12" s="164"/>
      <c r="E12" s="164"/>
      <c r="F12" s="164"/>
    </row>
    <row r="13" spans="1:6" ht="20.149999999999999" customHeight="1" x14ac:dyDescent="0.25">
      <c r="A13" s="164"/>
      <c r="B13" s="164"/>
      <c r="C13" s="164"/>
      <c r="D13" s="164"/>
      <c r="E13" s="164"/>
      <c r="F13" s="164"/>
    </row>
    <row r="14" spans="1:6" ht="20.149999999999999" customHeight="1" x14ac:dyDescent="0.25">
      <c r="A14" s="118"/>
      <c r="B14" s="118"/>
      <c r="C14" s="118"/>
      <c r="D14" s="118"/>
      <c r="E14" s="118"/>
      <c r="F14" s="118"/>
    </row>
    <row r="15" spans="1:6" ht="22.5" customHeight="1" x14ac:dyDescent="0.25">
      <c r="A15" s="116"/>
      <c r="B15" s="116"/>
      <c r="C15" s="116"/>
      <c r="D15" s="116"/>
      <c r="E15" s="116"/>
      <c r="F15" s="116"/>
    </row>
    <row r="16" spans="1:6" ht="13" x14ac:dyDescent="0.3">
      <c r="A16" s="13" t="s">
        <v>289</v>
      </c>
      <c r="B16" s="13" t="s">
        <v>290</v>
      </c>
      <c r="C16" s="13" t="s">
        <v>291</v>
      </c>
      <c r="D16" s="13" t="s">
        <v>292</v>
      </c>
      <c r="E16" s="13" t="s">
        <v>293</v>
      </c>
      <c r="F16" s="116"/>
    </row>
    <row r="17" spans="1:5" x14ac:dyDescent="0.25">
      <c r="A17" s="25" t="s">
        <v>57</v>
      </c>
      <c r="B17" s="119">
        <f>COUNTIFS(SW_QG!$A:$A,$A17,SW_QG!$N:$N,"R")</f>
        <v>0</v>
      </c>
      <c r="C17" s="119">
        <f>COUNTIFS(SW_QG!$A:$A,$A17,SW_QG!$N:$N,"Y")</f>
        <v>3</v>
      </c>
      <c r="D17" s="119">
        <f>COUNTIFS(SW_QG!$A:$A,$A17,SW_QG!$N:$N,"G")</f>
        <v>5</v>
      </c>
      <c r="E17" s="119" t="str">
        <f t="shared" ref="E17:E23" si="0">IF($B17&gt;=1,"R",IF($C17&gt;=1,"Y",IF($D17&gt;=1,"G","")))</f>
        <v>Y</v>
      </c>
    </row>
    <row r="18" spans="1:5" x14ac:dyDescent="0.25">
      <c r="A18" s="25" t="s">
        <v>92</v>
      </c>
      <c r="B18" s="119">
        <f>COUNTIFS(SW_QG!$A:$A,$A18,SW_QG!$N:$N,"R")</f>
        <v>0</v>
      </c>
      <c r="C18" s="119">
        <f>COUNTIFS(SW_QG!$A:$A,$A18,SW_QG!$N:$N,"Y")</f>
        <v>0</v>
      </c>
      <c r="D18" s="119">
        <f>COUNTIFS(SW_QG!$A:$A,$A18,SW_QG!$N:$N,"G")</f>
        <v>2</v>
      </c>
      <c r="E18" s="119" t="str">
        <f t="shared" si="0"/>
        <v>G</v>
      </c>
    </row>
    <row r="19" spans="1:5" x14ac:dyDescent="0.25">
      <c r="A19" s="25" t="s">
        <v>86</v>
      </c>
      <c r="B19" s="119">
        <f>COUNTIFS(SW_QG!$A:$A,$A19,SW_QG!$N:$N,"R")</f>
        <v>0</v>
      </c>
      <c r="C19" s="119">
        <f>COUNTIFS(SW_QG!$A:$A,$A19,SW_QG!$N:$N,"Y")</f>
        <v>0</v>
      </c>
      <c r="D19" s="119">
        <f>COUNTIFS(SW_QG!$A:$A,$A19,SW_QG!$N:$N,"G")</f>
        <v>1</v>
      </c>
      <c r="E19" s="119" t="str">
        <f t="shared" si="0"/>
        <v>G</v>
      </c>
    </row>
    <row r="20" spans="1:5" x14ac:dyDescent="0.25">
      <c r="A20" s="26" t="s">
        <v>140</v>
      </c>
      <c r="B20" s="119">
        <f>COUNTIFS(SW_QG!$A:$A,$A20,SW_QG!$N:$N,"R")</f>
        <v>0</v>
      </c>
      <c r="C20" s="119">
        <f>COUNTIFS(SW_QG!$A:$A,$A20,SW_QG!$N:$N,"Y")</f>
        <v>0</v>
      </c>
      <c r="D20" s="119">
        <f>COUNTIFS(SW_QG!$A:$A,$A20,SW_QG!$N:$N,"G")</f>
        <v>0</v>
      </c>
      <c r="E20" s="119" t="str">
        <f t="shared" si="0"/>
        <v/>
      </c>
    </row>
    <row r="21" spans="1:5" ht="25" x14ac:dyDescent="0.25">
      <c r="A21" s="26" t="s">
        <v>133</v>
      </c>
      <c r="B21" s="119">
        <f>COUNTIFS(SW_QG!$A:$A,$A21,SW_QG!$N:$N,"R")</f>
        <v>0</v>
      </c>
      <c r="C21" s="119">
        <f>COUNTIFS(SW_QG!$A:$A,$A21,SW_QG!$N:$N,"Y")</f>
        <v>3</v>
      </c>
      <c r="D21" s="119">
        <f>COUNTIFS(SW_QG!$A:$A,$A21,SW_QG!$N:$N,"G")</f>
        <v>7</v>
      </c>
      <c r="E21" s="119" t="str">
        <f t="shared" si="0"/>
        <v>Y</v>
      </c>
    </row>
    <row r="22" spans="1:5" x14ac:dyDescent="0.25">
      <c r="A22" s="26" t="s">
        <v>147</v>
      </c>
      <c r="B22" s="119">
        <f>COUNTIFS(SW_QG!$A:$A,$A22,SW_QG!$N:$N,"R")</f>
        <v>0</v>
      </c>
      <c r="C22" s="119">
        <f>COUNTIFS(SW_QG!$A:$A,$A22,SW_QG!$N:$N,"Y")</f>
        <v>1</v>
      </c>
      <c r="D22" s="119">
        <f>COUNTIFS(SW_QG!$A:$A,$A22,SW_QG!$N:$N,"G")</f>
        <v>5</v>
      </c>
      <c r="E22" s="119" t="str">
        <f t="shared" si="0"/>
        <v>Y</v>
      </c>
    </row>
    <row r="23" spans="1:5" ht="25" x14ac:dyDescent="0.25">
      <c r="A23" s="26" t="s">
        <v>219</v>
      </c>
      <c r="B23" s="119">
        <f>COUNTIFS(SW_QG!$A:$A,$A23,SW_QG!$N:$N,"R")</f>
        <v>0</v>
      </c>
      <c r="C23" s="119">
        <f>COUNTIFS(SW_QG!$A:$A,$A23,SW_QG!$N:$N,"Y")</f>
        <v>1</v>
      </c>
      <c r="D23" s="119">
        <f>COUNTIFS(SW_QG!$A:$A,$A23,SW_QG!$N:$N,"G")</f>
        <v>2</v>
      </c>
      <c r="E23" s="119" t="str">
        <f t="shared" si="0"/>
        <v>Y</v>
      </c>
    </row>
    <row r="27" spans="1:5" ht="26" x14ac:dyDescent="0.25">
      <c r="A27" s="81" t="s">
        <v>294</v>
      </c>
      <c r="B27" s="81" t="s">
        <v>295</v>
      </c>
      <c r="C27" s="84">
        <f>IFERROR((COUNTIF(SW_QG!$N:$N,"G"))/(COUNTIF(SW_QG!$N:$N,"G")+COUNTIF(SW_QG!$N:$N,"Y")+COUNTIF(SW_QG!$N:$N,"R")),"0%")</f>
        <v>0.74193548387096775</v>
      </c>
      <c r="D27" s="116"/>
      <c r="E27" s="116"/>
    </row>
    <row r="28" spans="1:5" ht="26" x14ac:dyDescent="0.25">
      <c r="A28" s="81" t="s">
        <v>296</v>
      </c>
      <c r="B28" s="81" t="s">
        <v>297</v>
      </c>
      <c r="C28" s="82">
        <f>IFERROR((COUNTIF(SW_QG!$N:$N,"Y"))/(COUNTIF(SW_QG!$N:$N,"G")+COUNTIF(SW_QG!$N:$N,"Y")+COUNTIF(SW_QG!$N:$N,"R")),"0%")</f>
        <v>0.25806451612903225</v>
      </c>
      <c r="D28" s="116"/>
      <c r="E28" s="116"/>
    </row>
    <row r="29" spans="1:5" ht="26" x14ac:dyDescent="0.25">
      <c r="A29" s="81" t="s">
        <v>298</v>
      </c>
      <c r="B29" s="81" t="s">
        <v>299</v>
      </c>
      <c r="C29" s="83">
        <f>IFERROR((COUNTIF(SW_QG!$N:$N,"R"))/(COUNTIF(SW_QG!$N:$N,"G")+COUNTIF(SW_QG!$N:$N,"Y")+COUNTIF(SW_QG!$N:$N,"R")),"0%")</f>
        <v>0</v>
      </c>
      <c r="D29" s="116"/>
      <c r="E29" s="116"/>
    </row>
    <row r="34" spans="9:9" x14ac:dyDescent="0.25">
      <c r="I34" s="120"/>
    </row>
  </sheetData>
  <sheetProtection formatCells="0" formatColumns="0" formatRows="0" insertColumns="0" insertRows="0" insertHyperlinks="0" deleteRows="0" selectLockedCells="1" sort="0" autoFilter="0" pivotTables="0"/>
  <mergeCells count="10">
    <mergeCell ref="F1:F4"/>
    <mergeCell ref="A1:E1"/>
    <mergeCell ref="B2:C2"/>
    <mergeCell ref="B3:C3"/>
    <mergeCell ref="B4:E4"/>
    <mergeCell ref="A9:F9"/>
    <mergeCell ref="A10:F10"/>
    <mergeCell ref="A11:F11"/>
    <mergeCell ref="A12:F12"/>
    <mergeCell ref="A13:F13"/>
  </mergeCells>
  <conditionalFormatting sqref="E17:E23">
    <cfRule type="cellIs" dxfId="12" priority="555" operator="equal">
      <formula>"G"</formula>
    </cfRule>
    <cfRule type="cellIs" dxfId="11" priority="556" operator="equal">
      <formula>"Y"</formula>
    </cfRule>
    <cfRule type="cellIs" dxfId="10" priority="557" operator="equal">
      <formula>"R"</formula>
    </cfRule>
  </conditionalFormatting>
  <conditionalFormatting sqref="C8">
    <cfRule type="cellIs" dxfId="9" priority="422" stopIfTrue="1" operator="equal">
      <formula>"R"</formula>
    </cfRule>
    <cfRule type="cellIs" dxfId="8" priority="423" stopIfTrue="1" operator="equal">
      <formula>"Y"</formula>
    </cfRule>
    <cfRule type="cellIs" dxfId="7" priority="424" stopIfTrue="1" operator="equal">
      <formula>"G"</formula>
    </cfRule>
  </conditionalFormatting>
  <conditionalFormatting sqref="C7">
    <cfRule type="cellIs" dxfId="6" priority="416" stopIfTrue="1" operator="equal">
      <formula>"R"</formula>
    </cfRule>
    <cfRule type="cellIs" dxfId="5" priority="417" stopIfTrue="1" operator="equal">
      <formula>"Y"</formula>
    </cfRule>
    <cfRule type="cellIs" dxfId="4" priority="418" stopIfTrue="1" operator="equal">
      <formula>"G"</formula>
    </cfRule>
  </conditionalFormatting>
  <conditionalFormatting sqref="B4">
    <cfRule type="cellIs" dxfId="3" priority="394" operator="equal">
      <formula>"Not Rated"</formula>
    </cfRule>
    <cfRule type="cellIs" dxfId="2" priority="395" operator="equal">
      <formula>"G"</formula>
    </cfRule>
    <cfRule type="cellIs" dxfId="1" priority="396" operator="equal">
      <formula>"Y"</formula>
    </cfRule>
    <cfRule type="cellIs" dxfId="0" priority="397" operator="equal">
      <formula>"R"</formula>
    </cfRule>
  </conditionalFormatting>
  <pageMargins left="0.7" right="0.7" top="0.75" bottom="0.75" header="0.3" footer="0.3"/>
  <pageSetup scale="66" orientation="portrait" r:id="rId1"/>
  <headerFooter>
    <oddHeader xml:space="preserve">&amp;RPage &amp;P  of  &amp;N </oddHeader>
    <oddFooter>&amp;L&amp;8QSC-SUP-04; Ver 3.4
BGSW/BGSV&amp;C&amp;8© This is the exclusive property of Bosch Global Software Technologies Private Limited.  
Without their consent, it may not be reproduced or given to third parties.
15/07/2022&amp;R&amp;8Internal   &amp;F</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L45"/>
  <sheetViews>
    <sheetView showGridLines="0" topLeftCell="A2" zoomScaleNormal="100" workbookViewId="0">
      <selection activeCell="H2" sqref="H2"/>
    </sheetView>
  </sheetViews>
  <sheetFormatPr defaultColWidth="8.7265625" defaultRowHeight="14.5" x14ac:dyDescent="0.35"/>
  <cols>
    <col min="1" max="1" width="8.453125" style="12" customWidth="1"/>
    <col min="2" max="2" width="25.26953125" style="12" hidden="1" customWidth="1"/>
    <col min="3" max="3" width="16.54296875" style="12" hidden="1" customWidth="1"/>
    <col min="4" max="4" width="22.453125" style="12" customWidth="1"/>
    <col min="5" max="5" width="24" style="12" customWidth="1"/>
    <col min="6" max="6" width="16.453125" style="12" customWidth="1"/>
    <col min="7" max="7" width="12.7265625" style="12" customWidth="1"/>
    <col min="8" max="8" width="12.1796875" style="12" customWidth="1"/>
    <col min="9" max="9" width="14.453125" style="12" customWidth="1"/>
    <col min="10" max="10" width="10.453125" style="12" customWidth="1"/>
    <col min="11" max="11" width="16.453125" style="12" customWidth="1"/>
    <col min="12" max="16384" width="8.7265625" style="12"/>
  </cols>
  <sheetData>
    <row r="1" spans="1:12" ht="18.5" x14ac:dyDescent="0.45">
      <c r="A1" s="171" t="s">
        <v>300</v>
      </c>
      <c r="B1" s="172"/>
      <c r="C1" s="172"/>
      <c r="D1" s="172"/>
      <c r="E1" s="172"/>
      <c r="F1" s="172"/>
      <c r="G1" s="172"/>
      <c r="H1" s="172"/>
      <c r="I1" s="172"/>
      <c r="J1" s="172"/>
      <c r="K1" s="172"/>
      <c r="L1" s="173"/>
    </row>
    <row r="2" spans="1:12" ht="39" x14ac:dyDescent="0.35">
      <c r="A2" s="49" t="s">
        <v>284</v>
      </c>
      <c r="B2" s="49" t="s">
        <v>14</v>
      </c>
      <c r="C2" s="49" t="s">
        <v>301</v>
      </c>
      <c r="D2" s="49" t="s">
        <v>50</v>
      </c>
      <c r="E2" s="49" t="s">
        <v>54</v>
      </c>
      <c r="F2" s="49" t="s">
        <v>55</v>
      </c>
      <c r="G2" s="49" t="s">
        <v>302</v>
      </c>
      <c r="H2" s="49" t="s">
        <v>303</v>
      </c>
      <c r="I2" s="49" t="s">
        <v>304</v>
      </c>
      <c r="J2" s="49" t="s">
        <v>305</v>
      </c>
      <c r="K2" s="49" t="s">
        <v>306</v>
      </c>
      <c r="L2" s="49" t="s">
        <v>307</v>
      </c>
    </row>
    <row r="3" spans="1:12" ht="162.5" x14ac:dyDescent="0.35">
      <c r="A3" s="121">
        <v>2</v>
      </c>
      <c r="B3" s="121"/>
      <c r="C3" s="122"/>
      <c r="D3" s="31" t="s">
        <v>70</v>
      </c>
      <c r="E3" s="31" t="s">
        <v>72</v>
      </c>
      <c r="F3" s="31" t="s">
        <v>73</v>
      </c>
      <c r="G3" s="99">
        <v>45223</v>
      </c>
      <c r="H3" s="123"/>
      <c r="I3" s="123"/>
      <c r="J3" s="114" t="s">
        <v>308</v>
      </c>
      <c r="K3" s="114"/>
      <c r="L3" s="124" t="str">
        <f t="shared" ref="L3:L45" ca="1" si="0">IF(C3="","",IF(I3="",(TODAY()-C3),(I3-C3)))</f>
        <v/>
      </c>
    </row>
    <row r="4" spans="1:12" ht="37.5" x14ac:dyDescent="0.35">
      <c r="A4" s="101" t="s">
        <v>80</v>
      </c>
      <c r="B4" s="121"/>
      <c r="C4" s="122"/>
      <c r="D4" s="98" t="s">
        <v>84</v>
      </c>
      <c r="E4" s="98" t="s">
        <v>85</v>
      </c>
      <c r="F4" s="31" t="s">
        <v>73</v>
      </c>
      <c r="G4" s="99">
        <v>45215</v>
      </c>
      <c r="H4" s="123"/>
      <c r="I4" s="123"/>
      <c r="J4" s="114" t="s">
        <v>308</v>
      </c>
      <c r="K4" s="114"/>
      <c r="L4" s="124" t="str">
        <f t="shared" ca="1" si="0"/>
        <v/>
      </c>
    </row>
    <row r="5" spans="1:12" ht="100" x14ac:dyDescent="0.35">
      <c r="A5" s="101" t="s">
        <v>99</v>
      </c>
      <c r="B5" s="121"/>
      <c r="C5" s="122"/>
      <c r="D5" s="31" t="s">
        <v>102</v>
      </c>
      <c r="E5" s="98" t="s">
        <v>309</v>
      </c>
      <c r="F5" s="103" t="s">
        <v>256</v>
      </c>
      <c r="G5" s="99">
        <v>45215</v>
      </c>
      <c r="H5" s="123"/>
      <c r="I5" s="123">
        <v>45215</v>
      </c>
      <c r="J5" s="114" t="s">
        <v>353</v>
      </c>
      <c r="K5" s="114" t="s">
        <v>352</v>
      </c>
      <c r="L5" s="124" t="str">
        <f t="shared" ca="1" si="0"/>
        <v/>
      </c>
    </row>
    <row r="6" spans="1:12" ht="62.5" x14ac:dyDescent="0.35">
      <c r="A6" s="101" t="s">
        <v>104</v>
      </c>
      <c r="B6" s="121"/>
      <c r="C6" s="122"/>
      <c r="D6" s="31" t="s">
        <v>107</v>
      </c>
      <c r="E6" s="98" t="s">
        <v>109</v>
      </c>
      <c r="F6" s="103" t="s">
        <v>110</v>
      </c>
      <c r="G6" s="99">
        <v>45215</v>
      </c>
      <c r="H6" s="123"/>
      <c r="I6" s="123"/>
      <c r="J6" s="114" t="s">
        <v>308</v>
      </c>
      <c r="K6" s="114"/>
      <c r="L6" s="124" t="str">
        <f t="shared" ca="1" si="0"/>
        <v/>
      </c>
    </row>
    <row r="7" spans="1:12" ht="50.5" x14ac:dyDescent="0.35">
      <c r="A7" s="101" t="s">
        <v>118</v>
      </c>
      <c r="B7" s="121"/>
      <c r="C7" s="122"/>
      <c r="D7" s="31" t="s">
        <v>121</v>
      </c>
      <c r="E7" s="98" t="s">
        <v>309</v>
      </c>
      <c r="F7" s="103" t="s">
        <v>256</v>
      </c>
      <c r="G7" s="99">
        <v>45215</v>
      </c>
      <c r="H7" s="123"/>
      <c r="I7" s="123">
        <v>45215</v>
      </c>
      <c r="J7" s="114" t="s">
        <v>353</v>
      </c>
      <c r="K7" s="114" t="s">
        <v>355</v>
      </c>
      <c r="L7" s="124" t="str">
        <f t="shared" ca="1" si="0"/>
        <v/>
      </c>
    </row>
    <row r="8" spans="1:12" ht="88.5" x14ac:dyDescent="0.35">
      <c r="A8" s="96" t="s">
        <v>135</v>
      </c>
      <c r="B8" s="121"/>
      <c r="C8" s="122"/>
      <c r="D8" s="31" t="s">
        <v>139</v>
      </c>
      <c r="E8" s="98" t="s">
        <v>310</v>
      </c>
      <c r="F8" s="103" t="s">
        <v>256</v>
      </c>
      <c r="G8" s="99">
        <v>45215</v>
      </c>
      <c r="H8" s="123">
        <v>45219</v>
      </c>
      <c r="I8" s="123"/>
      <c r="J8" s="114" t="s">
        <v>308</v>
      </c>
      <c r="K8" s="114" t="s">
        <v>356</v>
      </c>
      <c r="L8" s="124" t="str">
        <f t="shared" ca="1" si="0"/>
        <v/>
      </c>
    </row>
    <row r="9" spans="1:12" ht="25" x14ac:dyDescent="0.35">
      <c r="A9" s="96" t="s">
        <v>160</v>
      </c>
      <c r="B9" s="121"/>
      <c r="C9" s="122"/>
      <c r="D9" s="31" t="s">
        <v>163</v>
      </c>
      <c r="E9" s="98"/>
      <c r="F9" s="103" t="s">
        <v>73</v>
      </c>
      <c r="G9" s="99">
        <v>45223</v>
      </c>
      <c r="H9" s="123"/>
      <c r="I9" s="123"/>
      <c r="J9" s="114" t="s">
        <v>308</v>
      </c>
      <c r="K9" s="114"/>
      <c r="L9" s="124" t="str">
        <f t="shared" ca="1" si="0"/>
        <v/>
      </c>
    </row>
    <row r="10" spans="1:12" ht="87" x14ac:dyDescent="0.35">
      <c r="A10" s="101" t="s">
        <v>170</v>
      </c>
      <c r="B10" s="121"/>
      <c r="C10" s="122"/>
      <c r="D10" s="24" t="s">
        <v>173</v>
      </c>
      <c r="E10" s="98"/>
      <c r="F10" s="103" t="s">
        <v>73</v>
      </c>
      <c r="G10" s="99">
        <v>45223</v>
      </c>
      <c r="H10" s="123"/>
      <c r="I10" s="123"/>
      <c r="J10" s="114" t="s">
        <v>308</v>
      </c>
      <c r="K10" s="114"/>
      <c r="L10" s="124" t="str">
        <f t="shared" ca="1" si="0"/>
        <v/>
      </c>
    </row>
    <row r="11" spans="1:12" ht="100.5" x14ac:dyDescent="0.35">
      <c r="A11" s="101" t="s">
        <v>175</v>
      </c>
      <c r="B11" s="121"/>
      <c r="C11" s="122"/>
      <c r="D11" s="31" t="s">
        <v>178</v>
      </c>
      <c r="E11" s="98" t="s">
        <v>311</v>
      </c>
      <c r="F11" s="103" t="s">
        <v>256</v>
      </c>
      <c r="G11" s="99">
        <v>45215</v>
      </c>
      <c r="H11" s="123"/>
      <c r="I11" s="123"/>
      <c r="J11" s="114" t="s">
        <v>308</v>
      </c>
      <c r="K11" s="114"/>
      <c r="L11" s="124" t="str">
        <f t="shared" ca="1" si="0"/>
        <v/>
      </c>
    </row>
    <row r="12" spans="1:12" ht="112.5" x14ac:dyDescent="0.35">
      <c r="A12" s="96" t="s">
        <v>221</v>
      </c>
      <c r="B12" s="121"/>
      <c r="C12" s="122"/>
      <c r="D12" s="31" t="s">
        <v>224</v>
      </c>
      <c r="E12" s="98" t="s">
        <v>311</v>
      </c>
      <c r="F12" s="103" t="s">
        <v>256</v>
      </c>
      <c r="G12" s="99">
        <v>45215</v>
      </c>
      <c r="H12" s="123"/>
      <c r="I12" s="123">
        <v>45215</v>
      </c>
      <c r="J12" s="114" t="s">
        <v>353</v>
      </c>
      <c r="K12" s="114" t="s">
        <v>358</v>
      </c>
      <c r="L12" s="124" t="str">
        <f t="shared" ca="1" si="0"/>
        <v/>
      </c>
    </row>
    <row r="13" spans="1:12" ht="37.5" x14ac:dyDescent="0.35">
      <c r="A13" s="101" t="s">
        <v>238</v>
      </c>
      <c r="B13" s="121"/>
      <c r="C13" s="122"/>
      <c r="D13" s="31" t="s">
        <v>242</v>
      </c>
      <c r="E13" s="98" t="s">
        <v>310</v>
      </c>
      <c r="F13" s="103" t="s">
        <v>256</v>
      </c>
      <c r="G13" s="99">
        <v>45215</v>
      </c>
      <c r="H13" s="123">
        <v>45219</v>
      </c>
      <c r="I13" s="123"/>
      <c r="J13" s="114" t="s">
        <v>308</v>
      </c>
      <c r="K13" s="114" t="s">
        <v>356</v>
      </c>
      <c r="L13" s="124" t="str">
        <f t="shared" ca="1" si="0"/>
        <v/>
      </c>
    </row>
    <row r="14" spans="1:12" x14ac:dyDescent="0.35">
      <c r="A14" s="121"/>
      <c r="B14" s="121"/>
      <c r="C14" s="122"/>
      <c r="D14" s="121"/>
      <c r="E14" s="121"/>
      <c r="F14" s="121"/>
      <c r="G14" s="122"/>
      <c r="H14" s="123"/>
      <c r="I14" s="123"/>
      <c r="J14" s="114"/>
      <c r="K14" s="114"/>
      <c r="L14" s="124" t="str">
        <f t="shared" ca="1" si="0"/>
        <v/>
      </c>
    </row>
    <row r="15" spans="1:12" x14ac:dyDescent="0.35">
      <c r="A15" s="121"/>
      <c r="B15" s="121"/>
      <c r="C15" s="122"/>
      <c r="D15" s="121"/>
      <c r="E15" s="121"/>
      <c r="F15" s="121"/>
      <c r="G15" s="122"/>
      <c r="H15" s="123"/>
      <c r="I15" s="123"/>
      <c r="J15" s="114"/>
      <c r="K15" s="114"/>
      <c r="L15" s="124" t="str">
        <f t="shared" ca="1" si="0"/>
        <v/>
      </c>
    </row>
    <row r="16" spans="1:12" x14ac:dyDescent="0.35">
      <c r="A16" s="121"/>
      <c r="B16" s="121"/>
      <c r="C16" s="122"/>
      <c r="D16" s="121"/>
      <c r="E16" s="121"/>
      <c r="F16" s="121"/>
      <c r="G16" s="122"/>
      <c r="H16" s="123"/>
      <c r="I16" s="123"/>
      <c r="J16" s="114"/>
      <c r="K16" s="114"/>
      <c r="L16" s="124" t="str">
        <f t="shared" ca="1" si="0"/>
        <v/>
      </c>
    </row>
    <row r="17" spans="1:12" x14ac:dyDescent="0.35">
      <c r="A17" s="121"/>
      <c r="B17" s="121"/>
      <c r="C17" s="122"/>
      <c r="D17" s="121"/>
      <c r="E17" s="121"/>
      <c r="F17" s="121"/>
      <c r="G17" s="122"/>
      <c r="H17" s="123"/>
      <c r="I17" s="123"/>
      <c r="J17" s="114"/>
      <c r="K17" s="114"/>
      <c r="L17" s="124" t="str">
        <f t="shared" ca="1" si="0"/>
        <v/>
      </c>
    </row>
    <row r="18" spans="1:12" x14ac:dyDescent="0.35">
      <c r="A18" s="121"/>
      <c r="B18" s="121"/>
      <c r="C18" s="122"/>
      <c r="D18" s="121"/>
      <c r="E18" s="121"/>
      <c r="F18" s="121"/>
      <c r="G18" s="122"/>
      <c r="H18" s="123"/>
      <c r="I18" s="123"/>
      <c r="J18" s="114"/>
      <c r="K18" s="114"/>
      <c r="L18" s="124" t="str">
        <f t="shared" ca="1" si="0"/>
        <v/>
      </c>
    </row>
    <row r="19" spans="1:12" x14ac:dyDescent="0.35">
      <c r="A19" s="121"/>
      <c r="B19" s="121"/>
      <c r="C19" s="122"/>
      <c r="D19" s="121"/>
      <c r="E19" s="121"/>
      <c r="F19" s="121"/>
      <c r="G19" s="122"/>
      <c r="H19" s="123"/>
      <c r="I19" s="123"/>
      <c r="J19" s="114"/>
      <c r="K19" s="114"/>
      <c r="L19" s="124" t="str">
        <f t="shared" ca="1" si="0"/>
        <v/>
      </c>
    </row>
    <row r="20" spans="1:12" x14ac:dyDescent="0.35">
      <c r="A20" s="121"/>
      <c r="B20" s="121"/>
      <c r="C20" s="122"/>
      <c r="D20" s="121"/>
      <c r="E20" s="121"/>
      <c r="F20" s="121"/>
      <c r="G20" s="122"/>
      <c r="H20" s="123"/>
      <c r="I20" s="123"/>
      <c r="J20" s="114"/>
      <c r="K20" s="114"/>
      <c r="L20" s="124" t="str">
        <f t="shared" ca="1" si="0"/>
        <v/>
      </c>
    </row>
    <row r="21" spans="1:12" x14ac:dyDescent="0.35">
      <c r="A21" s="121"/>
      <c r="B21" s="121"/>
      <c r="C21" s="122"/>
      <c r="D21" s="121"/>
      <c r="E21" s="121"/>
      <c r="F21" s="121"/>
      <c r="G21" s="122"/>
      <c r="H21" s="123"/>
      <c r="I21" s="123"/>
      <c r="J21" s="114"/>
      <c r="K21" s="114"/>
      <c r="L21" s="124" t="str">
        <f t="shared" ca="1" si="0"/>
        <v/>
      </c>
    </row>
    <row r="22" spans="1:12" x14ac:dyDescent="0.35">
      <c r="A22" s="121"/>
      <c r="B22" s="121"/>
      <c r="C22" s="122"/>
      <c r="D22" s="121"/>
      <c r="E22" s="121"/>
      <c r="F22" s="121"/>
      <c r="G22" s="122"/>
      <c r="H22" s="123"/>
      <c r="I22" s="123"/>
      <c r="J22" s="114"/>
      <c r="K22" s="114"/>
      <c r="L22" s="124" t="str">
        <f t="shared" ca="1" si="0"/>
        <v/>
      </c>
    </row>
    <row r="23" spans="1:12" x14ac:dyDescent="0.35">
      <c r="A23" s="121"/>
      <c r="B23" s="121"/>
      <c r="C23" s="122"/>
      <c r="D23" s="121"/>
      <c r="E23" s="121"/>
      <c r="F23" s="121"/>
      <c r="G23" s="122"/>
      <c r="H23" s="123"/>
      <c r="I23" s="123"/>
      <c r="J23" s="114"/>
      <c r="K23" s="114"/>
      <c r="L23" s="124" t="str">
        <f t="shared" ca="1" si="0"/>
        <v/>
      </c>
    </row>
    <row r="24" spans="1:12" x14ac:dyDescent="0.35">
      <c r="A24" s="121"/>
      <c r="B24" s="121"/>
      <c r="C24" s="122"/>
      <c r="D24" s="121"/>
      <c r="E24" s="121"/>
      <c r="F24" s="121"/>
      <c r="G24" s="122"/>
      <c r="H24" s="123"/>
      <c r="I24" s="123"/>
      <c r="J24" s="114"/>
      <c r="K24" s="114"/>
      <c r="L24" s="124" t="str">
        <f t="shared" ca="1" si="0"/>
        <v/>
      </c>
    </row>
    <row r="25" spans="1:12" x14ac:dyDescent="0.35">
      <c r="A25" s="121"/>
      <c r="B25" s="121"/>
      <c r="C25" s="122"/>
      <c r="D25" s="121"/>
      <c r="E25" s="121"/>
      <c r="F25" s="121"/>
      <c r="G25" s="122"/>
      <c r="H25" s="123"/>
      <c r="I25" s="123"/>
      <c r="J25" s="114"/>
      <c r="K25" s="114"/>
      <c r="L25" s="124" t="str">
        <f t="shared" ca="1" si="0"/>
        <v/>
      </c>
    </row>
    <row r="26" spans="1:12" x14ac:dyDescent="0.35">
      <c r="A26" s="121"/>
      <c r="B26" s="121"/>
      <c r="C26" s="122"/>
      <c r="D26" s="121"/>
      <c r="E26" s="121"/>
      <c r="F26" s="121"/>
      <c r="G26" s="122"/>
      <c r="H26" s="123"/>
      <c r="I26" s="123"/>
      <c r="J26" s="114"/>
      <c r="K26" s="114"/>
      <c r="L26" s="124" t="str">
        <f t="shared" ca="1" si="0"/>
        <v/>
      </c>
    </row>
    <row r="27" spans="1:12" x14ac:dyDescent="0.35">
      <c r="A27" s="121"/>
      <c r="B27" s="121"/>
      <c r="C27" s="122"/>
      <c r="D27" s="121"/>
      <c r="E27" s="121"/>
      <c r="F27" s="121"/>
      <c r="G27" s="122"/>
      <c r="H27" s="123"/>
      <c r="I27" s="123"/>
      <c r="J27" s="114"/>
      <c r="K27" s="114"/>
      <c r="L27" s="124" t="str">
        <f t="shared" ca="1" si="0"/>
        <v/>
      </c>
    </row>
    <row r="28" spans="1:12" x14ac:dyDescent="0.35">
      <c r="A28" s="121"/>
      <c r="B28" s="121"/>
      <c r="C28" s="122"/>
      <c r="D28" s="121"/>
      <c r="E28" s="121"/>
      <c r="F28" s="121"/>
      <c r="G28" s="122"/>
      <c r="H28" s="123"/>
      <c r="I28" s="123"/>
      <c r="J28" s="114"/>
      <c r="K28" s="114"/>
      <c r="L28" s="124" t="str">
        <f t="shared" ca="1" si="0"/>
        <v/>
      </c>
    </row>
    <row r="29" spans="1:12" x14ac:dyDescent="0.35">
      <c r="A29" s="121"/>
      <c r="B29" s="121"/>
      <c r="C29" s="122"/>
      <c r="D29" s="121"/>
      <c r="E29" s="121"/>
      <c r="F29" s="121"/>
      <c r="G29" s="122"/>
      <c r="H29" s="123"/>
      <c r="I29" s="123"/>
      <c r="J29" s="114"/>
      <c r="K29" s="114"/>
      <c r="L29" s="124" t="str">
        <f t="shared" ca="1" si="0"/>
        <v/>
      </c>
    </row>
    <row r="30" spans="1:12" x14ac:dyDescent="0.35">
      <c r="A30" s="121"/>
      <c r="B30" s="121"/>
      <c r="C30" s="122"/>
      <c r="D30" s="121"/>
      <c r="E30" s="121"/>
      <c r="F30" s="121"/>
      <c r="G30" s="122"/>
      <c r="H30" s="123"/>
      <c r="I30" s="123"/>
      <c r="J30" s="114"/>
      <c r="K30" s="114"/>
      <c r="L30" s="124" t="str">
        <f t="shared" ca="1" si="0"/>
        <v/>
      </c>
    </row>
    <row r="31" spans="1:12" x14ac:dyDescent="0.35">
      <c r="A31" s="121"/>
      <c r="B31" s="121"/>
      <c r="C31" s="122"/>
      <c r="D31" s="121"/>
      <c r="E31" s="121"/>
      <c r="F31" s="121"/>
      <c r="G31" s="122"/>
      <c r="H31" s="123"/>
      <c r="I31" s="123"/>
      <c r="J31" s="114"/>
      <c r="K31" s="114"/>
      <c r="L31" s="124" t="str">
        <f t="shared" ca="1" si="0"/>
        <v/>
      </c>
    </row>
    <row r="32" spans="1:12" x14ac:dyDescent="0.35">
      <c r="A32" s="121"/>
      <c r="B32" s="121"/>
      <c r="C32" s="122"/>
      <c r="D32" s="121"/>
      <c r="E32" s="121"/>
      <c r="F32" s="121"/>
      <c r="G32" s="122"/>
      <c r="H32" s="123"/>
      <c r="I32" s="123"/>
      <c r="J32" s="114"/>
      <c r="K32" s="114"/>
      <c r="L32" s="124" t="str">
        <f t="shared" ca="1" si="0"/>
        <v/>
      </c>
    </row>
    <row r="33" spans="1:12" x14ac:dyDescent="0.35">
      <c r="A33" s="121"/>
      <c r="B33" s="121"/>
      <c r="C33" s="122"/>
      <c r="D33" s="121"/>
      <c r="E33" s="121"/>
      <c r="F33" s="121"/>
      <c r="G33" s="122"/>
      <c r="H33" s="123"/>
      <c r="I33" s="123"/>
      <c r="J33" s="114"/>
      <c r="K33" s="114"/>
      <c r="L33" s="124" t="str">
        <f t="shared" ca="1" si="0"/>
        <v/>
      </c>
    </row>
    <row r="34" spans="1:12" x14ac:dyDescent="0.35">
      <c r="A34" s="121"/>
      <c r="B34" s="121"/>
      <c r="C34" s="122"/>
      <c r="D34" s="121"/>
      <c r="E34" s="121"/>
      <c r="F34" s="121"/>
      <c r="G34" s="122"/>
      <c r="H34" s="123"/>
      <c r="I34" s="123"/>
      <c r="J34" s="114"/>
      <c r="K34" s="114"/>
      <c r="L34" s="124" t="str">
        <f t="shared" ca="1" si="0"/>
        <v/>
      </c>
    </row>
    <row r="35" spans="1:12" x14ac:dyDescent="0.35">
      <c r="A35" s="121"/>
      <c r="B35" s="121"/>
      <c r="C35" s="122"/>
      <c r="D35" s="121"/>
      <c r="E35" s="121"/>
      <c r="F35" s="121"/>
      <c r="G35" s="122"/>
      <c r="H35" s="123"/>
      <c r="I35" s="123"/>
      <c r="J35" s="114"/>
      <c r="K35" s="114"/>
      <c r="L35" s="124" t="str">
        <f t="shared" ca="1" si="0"/>
        <v/>
      </c>
    </row>
    <row r="36" spans="1:12" x14ac:dyDescent="0.35">
      <c r="A36" s="121"/>
      <c r="B36" s="121"/>
      <c r="C36" s="122"/>
      <c r="D36" s="121"/>
      <c r="E36" s="121"/>
      <c r="F36" s="121"/>
      <c r="G36" s="122"/>
      <c r="H36" s="123"/>
      <c r="I36" s="123"/>
      <c r="J36" s="114"/>
      <c r="K36" s="114"/>
      <c r="L36" s="124" t="str">
        <f t="shared" ca="1" si="0"/>
        <v/>
      </c>
    </row>
    <row r="37" spans="1:12" x14ac:dyDescent="0.35">
      <c r="A37" s="121"/>
      <c r="B37" s="121"/>
      <c r="C37" s="122"/>
      <c r="D37" s="121"/>
      <c r="E37" s="121"/>
      <c r="F37" s="121"/>
      <c r="G37" s="122"/>
      <c r="H37" s="123"/>
      <c r="I37" s="123"/>
      <c r="J37" s="114"/>
      <c r="K37" s="114"/>
      <c r="L37" s="124" t="str">
        <f t="shared" ca="1" si="0"/>
        <v/>
      </c>
    </row>
    <row r="38" spans="1:12" x14ac:dyDescent="0.35">
      <c r="A38" s="125"/>
      <c r="B38" s="125"/>
      <c r="C38" s="126"/>
      <c r="D38" s="125"/>
      <c r="E38" s="125"/>
      <c r="F38" s="125"/>
      <c r="G38" s="126"/>
      <c r="H38" s="127"/>
      <c r="I38" s="127"/>
      <c r="J38" s="128"/>
      <c r="K38" s="128"/>
      <c r="L38" s="124" t="str">
        <f t="shared" ca="1" si="0"/>
        <v/>
      </c>
    </row>
    <row r="39" spans="1:12" x14ac:dyDescent="0.35">
      <c r="A39" s="125"/>
      <c r="B39" s="125"/>
      <c r="C39" s="126"/>
      <c r="D39" s="125"/>
      <c r="E39" s="125"/>
      <c r="F39" s="125"/>
      <c r="G39" s="126"/>
      <c r="H39" s="127"/>
      <c r="I39" s="127"/>
      <c r="J39" s="128"/>
      <c r="K39" s="128"/>
      <c r="L39" s="124" t="str">
        <f t="shared" ca="1" si="0"/>
        <v/>
      </c>
    </row>
    <row r="40" spans="1:12" x14ac:dyDescent="0.35">
      <c r="A40" s="125"/>
      <c r="B40" s="125"/>
      <c r="C40" s="126"/>
      <c r="D40" s="125"/>
      <c r="E40" s="125"/>
      <c r="F40" s="125"/>
      <c r="G40" s="126"/>
      <c r="H40" s="127"/>
      <c r="I40" s="127"/>
      <c r="J40" s="128"/>
      <c r="K40" s="128"/>
      <c r="L40" s="124" t="str">
        <f t="shared" ca="1" si="0"/>
        <v/>
      </c>
    </row>
    <row r="41" spans="1:12" x14ac:dyDescent="0.35">
      <c r="A41" s="125"/>
      <c r="B41" s="125"/>
      <c r="C41" s="126"/>
      <c r="D41" s="125"/>
      <c r="E41" s="125"/>
      <c r="F41" s="125"/>
      <c r="G41" s="126"/>
      <c r="H41" s="127"/>
      <c r="I41" s="127"/>
      <c r="J41" s="128"/>
      <c r="K41" s="128"/>
      <c r="L41" s="124" t="str">
        <f t="shared" ca="1" si="0"/>
        <v/>
      </c>
    </row>
    <row r="42" spans="1:12" x14ac:dyDescent="0.35">
      <c r="A42" s="125"/>
      <c r="B42" s="125"/>
      <c r="C42" s="126"/>
      <c r="D42" s="125"/>
      <c r="E42" s="125"/>
      <c r="F42" s="125"/>
      <c r="G42" s="126"/>
      <c r="H42" s="127"/>
      <c r="I42" s="127"/>
      <c r="J42" s="128"/>
      <c r="K42" s="128"/>
      <c r="L42" s="124" t="str">
        <f t="shared" ca="1" si="0"/>
        <v/>
      </c>
    </row>
    <row r="43" spans="1:12" x14ac:dyDescent="0.35">
      <c r="A43" s="125"/>
      <c r="B43" s="125"/>
      <c r="C43" s="126"/>
      <c r="D43" s="125"/>
      <c r="E43" s="125"/>
      <c r="F43" s="125"/>
      <c r="G43" s="126"/>
      <c r="H43" s="127"/>
      <c r="I43" s="127"/>
      <c r="J43" s="128"/>
      <c r="K43" s="128"/>
      <c r="L43" s="124" t="str">
        <f t="shared" ca="1" si="0"/>
        <v/>
      </c>
    </row>
    <row r="44" spans="1:12" x14ac:dyDescent="0.35">
      <c r="A44" s="125"/>
      <c r="B44" s="125"/>
      <c r="C44" s="126"/>
      <c r="D44" s="125"/>
      <c r="E44" s="125"/>
      <c r="F44" s="125"/>
      <c r="G44" s="126"/>
      <c r="H44" s="127"/>
      <c r="I44" s="127"/>
      <c r="J44" s="128"/>
      <c r="K44" s="128"/>
      <c r="L44" s="124" t="str">
        <f t="shared" ca="1" si="0"/>
        <v/>
      </c>
    </row>
    <row r="45" spans="1:12" x14ac:dyDescent="0.35">
      <c r="A45" s="125"/>
      <c r="B45" s="125"/>
      <c r="C45" s="126"/>
      <c r="D45" s="125"/>
      <c r="E45" s="125"/>
      <c r="F45" s="125"/>
      <c r="G45" s="126"/>
      <c r="H45" s="127"/>
      <c r="I45" s="127"/>
      <c r="J45" s="128"/>
      <c r="K45" s="128"/>
      <c r="L45" s="124" t="str">
        <f t="shared" ca="1" si="0"/>
        <v/>
      </c>
    </row>
  </sheetData>
  <sheetProtection formatCells="0" formatColumns="0" formatRows="0" insertColumns="0" insertRows="0" insertHyperlinks="0" sort="0" autoFilter="0" pivotTables="0"/>
  <autoFilter ref="A2:L2" xr:uid="{00000000-0009-0000-0000-000003000000}"/>
  <mergeCells count="1">
    <mergeCell ref="A1:L1"/>
  </mergeCells>
  <dataValidations count="1">
    <dataValidation type="list" allowBlank="1" showInputMessage="1" showErrorMessage="1" sqref="J3:J45" xr:uid="{00000000-0002-0000-0300-000000000000}">
      <formula1>"Open,In progress, Closed"</formula1>
    </dataValidation>
  </dataValidations>
  <pageMargins left="0.7" right="0.7" top="0.75" bottom="0.75" header="0.3" footer="0.3"/>
  <pageSetup scale="61" orientation="portrait" r:id="rId1"/>
  <headerFooter>
    <oddHeader xml:space="preserve">&amp;RPage &amp;P  of  &amp;N </oddHeader>
    <oddFooter>&amp;L&amp;8QSC-SUP-04; Ver 3.4
BGSW/BGSV&amp;C&amp;8© This is the exclusive property of Bosch Global Software Technologies Private Limited.  
Without their consent, it may not be reproduced or given to third parties.
15/07/2022&amp;R&amp;8Internal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election activeCell="G19" sqref="G19"/>
    </sheetView>
  </sheetViews>
  <sheetFormatPr defaultRowHeight="14.5" x14ac:dyDescent="0.35"/>
  <sheetData>
    <row r="1" spans="1:1" x14ac:dyDescent="0.35">
      <c r="A1" t="s">
        <v>312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K45"/>
  <sheetViews>
    <sheetView showGridLines="0" topLeftCell="A28" zoomScaleNormal="100" workbookViewId="0">
      <selection activeCell="B32" sqref="B32"/>
    </sheetView>
  </sheetViews>
  <sheetFormatPr defaultColWidth="8.7265625" defaultRowHeight="14" x14ac:dyDescent="0.3"/>
  <cols>
    <col min="1" max="1" width="8.7265625" style="20"/>
    <col min="2" max="2" width="40.453125" style="20" customWidth="1"/>
    <col min="3" max="3" width="23.1796875" style="20" customWidth="1"/>
    <col min="4" max="4" width="18.453125" style="20" customWidth="1"/>
    <col min="5" max="5" width="6.81640625" style="20" customWidth="1"/>
    <col min="6" max="6" width="8.7265625" style="20"/>
    <col min="7" max="7" width="44.453125" style="20" customWidth="1"/>
    <col min="8" max="8" width="8.7265625" style="20"/>
    <col min="9" max="9" width="30.54296875" style="20" customWidth="1"/>
    <col min="10" max="10" width="15" style="20" customWidth="1"/>
    <col min="11" max="11" width="8.7265625" style="20"/>
    <col min="12" max="12" width="21.81640625" style="20" customWidth="1"/>
    <col min="13" max="13" width="19.453125" style="20" customWidth="1"/>
    <col min="14" max="16384" width="8.7265625" style="20"/>
  </cols>
  <sheetData>
    <row r="1" spans="1:8" x14ac:dyDescent="0.3">
      <c r="A1" s="174" t="s">
        <v>34</v>
      </c>
      <c r="B1" s="174"/>
      <c r="C1" s="174"/>
      <c r="D1" s="174"/>
      <c r="E1" s="174"/>
    </row>
    <row r="2" spans="1:8" x14ac:dyDescent="0.3">
      <c r="A2" s="175" t="s">
        <v>313</v>
      </c>
      <c r="B2" s="176"/>
      <c r="C2" s="177"/>
      <c r="D2" s="51"/>
      <c r="E2" s="51"/>
    </row>
    <row r="3" spans="1:8" ht="26" x14ac:dyDescent="0.3">
      <c r="A3" s="1"/>
      <c r="B3" s="1" t="s">
        <v>314</v>
      </c>
      <c r="C3" s="2" t="s">
        <v>315</v>
      </c>
      <c r="D3" s="51"/>
      <c r="E3" s="51"/>
    </row>
    <row r="4" spans="1:8" ht="26" x14ac:dyDescent="0.3">
      <c r="A4" s="1"/>
      <c r="B4" s="1" t="s">
        <v>316</v>
      </c>
      <c r="C4" s="2" t="s">
        <v>317</v>
      </c>
      <c r="D4" s="51"/>
      <c r="E4" s="51"/>
    </row>
    <row r="5" spans="1:8" ht="14.5" thickBot="1" x14ac:dyDescent="0.35">
      <c r="A5" s="64"/>
      <c r="B5" s="64"/>
      <c r="C5" s="64"/>
      <c r="D5" s="64"/>
      <c r="E5" s="64"/>
    </row>
    <row r="6" spans="1:8" ht="14.5" thickBot="1" x14ac:dyDescent="0.35">
      <c r="A6" s="3" t="s">
        <v>318</v>
      </c>
      <c r="B6" s="3" t="s">
        <v>319</v>
      </c>
      <c r="C6" s="3" t="s">
        <v>320</v>
      </c>
      <c r="D6" s="3" t="s">
        <v>321</v>
      </c>
      <c r="E6" s="4"/>
    </row>
    <row r="7" spans="1:8" ht="37.5" x14ac:dyDescent="0.3">
      <c r="A7" s="65">
        <v>1</v>
      </c>
      <c r="B7" s="66" t="s">
        <v>322</v>
      </c>
      <c r="C7" s="67" t="s">
        <v>323</v>
      </c>
      <c r="D7" s="68">
        <v>41850</v>
      </c>
      <c r="E7" s="64"/>
    </row>
    <row r="8" spans="1:8" ht="37.5" x14ac:dyDescent="0.3">
      <c r="A8" s="65">
        <v>1.1000000000000001</v>
      </c>
      <c r="B8" s="66" t="s">
        <v>324</v>
      </c>
      <c r="C8" s="67" t="s">
        <v>323</v>
      </c>
      <c r="D8" s="68">
        <v>41997</v>
      </c>
      <c r="E8" s="64"/>
    </row>
    <row r="9" spans="1:8" ht="25" x14ac:dyDescent="0.3">
      <c r="A9" s="65">
        <v>1.2</v>
      </c>
      <c r="B9" s="66" t="s">
        <v>325</v>
      </c>
      <c r="C9" s="67" t="s">
        <v>323</v>
      </c>
      <c r="D9" s="68">
        <v>42179</v>
      </c>
      <c r="E9" s="64"/>
    </row>
    <row r="10" spans="1:8" ht="25" x14ac:dyDescent="0.3">
      <c r="A10" s="65">
        <v>1.3</v>
      </c>
      <c r="B10" s="66" t="s">
        <v>326</v>
      </c>
      <c r="C10" s="67" t="s">
        <v>323</v>
      </c>
      <c r="D10" s="68">
        <v>42403</v>
      </c>
      <c r="E10" s="64"/>
    </row>
    <row r="11" spans="1:8" ht="137.5" x14ac:dyDescent="0.3">
      <c r="A11" s="69">
        <v>1.4</v>
      </c>
      <c r="B11" s="70" t="s">
        <v>327</v>
      </c>
      <c r="C11" s="71" t="s">
        <v>323</v>
      </c>
      <c r="D11" s="68">
        <v>42550</v>
      </c>
      <c r="E11" s="64"/>
    </row>
    <row r="12" spans="1:8" ht="50" x14ac:dyDescent="0.3">
      <c r="A12" s="65">
        <v>1.5</v>
      </c>
      <c r="B12" s="66" t="s">
        <v>328</v>
      </c>
      <c r="C12" s="67" t="s">
        <v>323</v>
      </c>
      <c r="D12" s="68">
        <v>42641</v>
      </c>
      <c r="E12" s="64"/>
    </row>
    <row r="13" spans="1:8" ht="100" x14ac:dyDescent="0.3">
      <c r="A13" s="72">
        <v>1.6</v>
      </c>
      <c r="B13" s="56" t="s">
        <v>329</v>
      </c>
      <c r="C13" s="73" t="s">
        <v>323</v>
      </c>
      <c r="D13" s="57">
        <v>42823</v>
      </c>
      <c r="E13" s="64"/>
    </row>
    <row r="14" spans="1:8" ht="50" x14ac:dyDescent="0.3">
      <c r="A14" s="74">
        <v>1.7</v>
      </c>
      <c r="B14" s="54" t="s">
        <v>330</v>
      </c>
      <c r="C14" s="75" t="s">
        <v>323</v>
      </c>
      <c r="D14" s="55">
        <v>42914</v>
      </c>
      <c r="E14" s="64"/>
    </row>
    <row r="15" spans="1:8" ht="25" x14ac:dyDescent="0.3">
      <c r="A15" s="58">
        <v>1.8</v>
      </c>
      <c r="B15" s="56" t="s">
        <v>331</v>
      </c>
      <c r="C15" s="76" t="s">
        <v>323</v>
      </c>
      <c r="D15" s="77">
        <v>43005</v>
      </c>
    </row>
    <row r="16" spans="1:8" ht="56" x14ac:dyDescent="0.3">
      <c r="A16" s="72">
        <v>1.9</v>
      </c>
      <c r="B16" s="63" t="s">
        <v>332</v>
      </c>
      <c r="C16" s="73" t="s">
        <v>323</v>
      </c>
      <c r="D16" s="57">
        <v>43063</v>
      </c>
      <c r="H16" s="78"/>
    </row>
    <row r="17" spans="1:11" ht="140" x14ac:dyDescent="0.3">
      <c r="A17" s="58">
        <v>2</v>
      </c>
      <c r="B17" s="63" t="s">
        <v>333</v>
      </c>
      <c r="C17" s="76" t="s">
        <v>323</v>
      </c>
      <c r="D17" s="79">
        <v>43187</v>
      </c>
      <c r="H17" s="78"/>
    </row>
    <row r="18" spans="1:11" ht="212.5" x14ac:dyDescent="0.3">
      <c r="A18" s="58">
        <v>2.1</v>
      </c>
      <c r="B18" s="56" t="s">
        <v>334</v>
      </c>
      <c r="C18" s="73" t="s">
        <v>323</v>
      </c>
      <c r="D18" s="79">
        <v>43460</v>
      </c>
    </row>
    <row r="19" spans="1:11" ht="37.5" x14ac:dyDescent="0.3">
      <c r="A19" s="58">
        <v>2.2000000000000002</v>
      </c>
      <c r="B19" s="56" t="s">
        <v>335</v>
      </c>
      <c r="C19" s="110" t="s">
        <v>323</v>
      </c>
      <c r="D19" s="129">
        <v>43585</v>
      </c>
    </row>
    <row r="20" spans="1:11" ht="42" x14ac:dyDescent="0.3">
      <c r="A20" s="58">
        <v>2.2999999999999998</v>
      </c>
      <c r="B20" s="63" t="s">
        <v>336</v>
      </c>
      <c r="C20" s="76" t="s">
        <v>323</v>
      </c>
      <c r="D20" s="79">
        <v>43581</v>
      </c>
    </row>
    <row r="21" spans="1:11" ht="138.5" x14ac:dyDescent="0.3">
      <c r="A21" s="58">
        <v>2.4</v>
      </c>
      <c r="B21" s="56" t="s">
        <v>337</v>
      </c>
      <c r="C21" s="110" t="s">
        <v>323</v>
      </c>
      <c r="D21" s="57">
        <v>43756</v>
      </c>
    </row>
    <row r="22" spans="1:11" ht="210" x14ac:dyDescent="0.3">
      <c r="A22" s="58">
        <v>2.5</v>
      </c>
      <c r="B22" s="63" t="s">
        <v>338</v>
      </c>
      <c r="C22" s="110" t="s">
        <v>323</v>
      </c>
      <c r="D22" s="57">
        <v>43817</v>
      </c>
    </row>
    <row r="23" spans="1:11" ht="210" x14ac:dyDescent="0.3">
      <c r="A23" s="58">
        <v>2.6</v>
      </c>
      <c r="B23" s="63" t="s">
        <v>339</v>
      </c>
      <c r="C23" s="110" t="s">
        <v>323</v>
      </c>
      <c r="D23" s="57">
        <v>44006</v>
      </c>
    </row>
    <row r="24" spans="1:11" ht="189" x14ac:dyDescent="0.3">
      <c r="A24" s="58">
        <v>2.7</v>
      </c>
      <c r="B24" s="130" t="s">
        <v>340</v>
      </c>
      <c r="C24" s="76" t="s">
        <v>323</v>
      </c>
      <c r="D24" s="79">
        <v>44188</v>
      </c>
    </row>
    <row r="25" spans="1:11" customFormat="1" ht="63" x14ac:dyDescent="0.35">
      <c r="A25" s="131">
        <v>2.8</v>
      </c>
      <c r="B25" s="130" t="s">
        <v>341</v>
      </c>
      <c r="C25" s="110" t="s">
        <v>323</v>
      </c>
      <c r="D25" s="85">
        <v>44286</v>
      </c>
    </row>
    <row r="26" spans="1:11" ht="38" x14ac:dyDescent="0.3">
      <c r="A26" s="131">
        <v>2.9</v>
      </c>
      <c r="B26" s="130" t="s">
        <v>342</v>
      </c>
      <c r="C26" s="110" t="s">
        <v>323</v>
      </c>
      <c r="D26" s="85">
        <v>44316</v>
      </c>
    </row>
    <row r="27" spans="1:11" ht="38" x14ac:dyDescent="0.3">
      <c r="A27" s="131">
        <v>3</v>
      </c>
      <c r="B27" s="130" t="s">
        <v>343</v>
      </c>
      <c r="C27" s="110" t="s">
        <v>323</v>
      </c>
      <c r="D27" s="85">
        <v>44468</v>
      </c>
    </row>
    <row r="28" spans="1:11" ht="64" x14ac:dyDescent="0.3">
      <c r="A28" s="131">
        <v>3.1</v>
      </c>
      <c r="B28" s="87" t="s">
        <v>344</v>
      </c>
      <c r="C28" s="110" t="s">
        <v>345</v>
      </c>
      <c r="D28" s="85">
        <v>44582</v>
      </c>
    </row>
    <row r="29" spans="1:11" ht="38" x14ac:dyDescent="0.3">
      <c r="A29" s="131">
        <v>3.2</v>
      </c>
      <c r="B29" s="87" t="s">
        <v>346</v>
      </c>
      <c r="C29" s="110" t="s">
        <v>345</v>
      </c>
      <c r="D29" s="85">
        <v>44650</v>
      </c>
    </row>
    <row r="30" spans="1:11" ht="14.5" x14ac:dyDescent="0.3">
      <c r="A30" s="131">
        <v>3.3</v>
      </c>
      <c r="B30" s="130" t="s">
        <v>347</v>
      </c>
      <c r="C30" s="110" t="s">
        <v>348</v>
      </c>
      <c r="D30" s="85">
        <v>44678</v>
      </c>
    </row>
    <row r="31" spans="1:11" ht="25.5" x14ac:dyDescent="0.3">
      <c r="A31" s="131">
        <v>3.4</v>
      </c>
      <c r="B31" s="130" t="s">
        <v>349</v>
      </c>
      <c r="C31" s="110" t="s">
        <v>348</v>
      </c>
      <c r="D31" s="85">
        <v>44678</v>
      </c>
    </row>
    <row r="32" spans="1:11" ht="25.5" x14ac:dyDescent="0.3">
      <c r="A32" s="131">
        <v>3.5</v>
      </c>
      <c r="B32" s="130" t="s">
        <v>350</v>
      </c>
      <c r="C32" s="110" t="s">
        <v>348</v>
      </c>
      <c r="D32" s="85">
        <v>45105</v>
      </c>
      <c r="K32" s="20" t="s">
        <v>351</v>
      </c>
    </row>
    <row r="45" spans="8:8" x14ac:dyDescent="0.3">
      <c r="H45" s="80"/>
    </row>
  </sheetData>
  <mergeCells count="2">
    <mergeCell ref="A1:E1"/>
    <mergeCell ref="A2:C2"/>
  </mergeCells>
  <pageMargins left="0.7" right="0.7" top="0.75" bottom="0.75" header="0.3" footer="0.3"/>
  <pageSetup paperSize="9" scale="64" fitToHeight="2" orientation="portrait" r:id="rId1"/>
  <headerFooter>
    <oddHeader xml:space="preserve">&amp;RPage &amp;P  of  &amp;N </oddHeader>
    <oddFooter>&amp;L&amp;8QSC-SUP-04; Ver 3.4
BGSW/BGSV&amp;C&amp;8© This is the exclusive property of Bosch Global Software Technologies Private Limited.  
Without their consent, it may not be reproduced or given to third parties.
15/07/2022&amp;R&amp;8Internal   &amp;F</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69f28d06-fc73-4014-ad4e-5c4d5c13e063">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CC039D63559D041A87E5C37D6EA6C23" ma:contentTypeVersion="12" ma:contentTypeDescription="Create a new document." ma:contentTypeScope="" ma:versionID="3903e4da3fdac8491fcd7f4942045e33">
  <xsd:schema xmlns:xsd="http://www.w3.org/2001/XMLSchema" xmlns:xs="http://www.w3.org/2001/XMLSchema" xmlns:p="http://schemas.microsoft.com/office/2006/metadata/properties" xmlns:ns2="69f28d06-fc73-4014-ad4e-5c4d5c13e063" xmlns:ns3="28ae5719-4109-4506-b1fc-b94a4a4563ac" targetNamespace="http://schemas.microsoft.com/office/2006/metadata/properties" ma:root="true" ma:fieldsID="7bb76ec95bfe65e696078f2a345b87e8" ns2:_="" ns3:_="">
    <xsd:import namespace="69f28d06-fc73-4014-ad4e-5c4d5c13e063"/>
    <xsd:import namespace="28ae5719-4109-4506-b1fc-b94a4a4563a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2:MediaServiceDateTaken" minOccurs="0"/>
                <xsd:element ref="ns2:MediaServiceGenerationTime" minOccurs="0"/>
                <xsd:element ref="ns2:MediaServiceEventHashCode" minOccurs="0"/>
                <xsd:element ref="ns2:MediaServiceOCR" minOccurs="0"/>
                <xsd:element ref="ns2:MediaLengthInSecond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9f28d06-fc73-4014-ad4e-5c4d5c13e06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50c28b-242c-4b51-be91-908d422433a4"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8ae5719-4109-4506-b1fc-b94a4a4563a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144113D-DA9F-4A31-A86C-9E0DE2D9456A}">
  <ds:schemaRefs>
    <ds:schemaRef ds:uri="http://schemas.microsoft.com/office/2006/metadata/properties"/>
    <ds:schemaRef ds:uri="http://schemas.microsoft.com/office/infopath/2007/PartnerControls"/>
    <ds:schemaRef ds:uri="69f28d06-fc73-4014-ad4e-5c4d5c13e063"/>
  </ds:schemaRefs>
</ds:datastoreItem>
</file>

<file path=customXml/itemProps2.xml><?xml version="1.0" encoding="utf-8"?>
<ds:datastoreItem xmlns:ds="http://schemas.openxmlformats.org/officeDocument/2006/customXml" ds:itemID="{1712C82D-B40E-4B3C-A2FC-ABC63C8F8AF3}">
  <ds:schemaRefs>
    <ds:schemaRef ds:uri="http://schemas.microsoft.com/sharepoint/v3/contenttype/forms"/>
  </ds:schemaRefs>
</ds:datastoreItem>
</file>

<file path=customXml/itemProps3.xml><?xml version="1.0" encoding="utf-8"?>
<ds:datastoreItem xmlns:ds="http://schemas.openxmlformats.org/officeDocument/2006/customXml" ds:itemID="{C51327CC-F281-4B34-B60D-1FE70C779FA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9f28d06-fc73-4014-ad4e-5c4d5c13e063"/>
    <ds:schemaRef ds:uri="28ae5719-4109-4506-b1fc-b94a4a4563a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Cover Sheet</vt:lpstr>
      <vt:lpstr>SW_QG</vt:lpstr>
      <vt:lpstr>QG Approval</vt:lpstr>
      <vt:lpstr>OPL</vt:lpstr>
      <vt:lpstr>Blank</vt:lpstr>
      <vt:lpstr>Revision History</vt:lpstr>
      <vt:lpstr>'QG Approval'!Print_Area</vt:lpstr>
      <vt:lpstr>'Revision History'!Print_Area</vt:lpstr>
      <vt:lpstr>SW_QG!Print_Area</vt:lpstr>
      <vt:lpstr>SW_QG!Print_Titles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Mythili Kadiri (RBEI/QMM-QAA1)</dc:creator>
  <cp:keywords/>
  <dc:description/>
  <cp:lastModifiedBy>Swetha Venkatesappa (SX/ETL7)</cp:lastModifiedBy>
  <cp:revision/>
  <dcterms:created xsi:type="dcterms:W3CDTF">2006-09-16T00:00:00Z</dcterms:created>
  <dcterms:modified xsi:type="dcterms:W3CDTF">2023-10-19T09:49:54Z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cm_ItemDeleteBlockHolders">
    <vt:lpwstr/>
  </property>
  <property fmtid="{D5CDD505-2E9C-101B-9397-08002B2CF9AE}" pid="3" name="ContentTypeId">
    <vt:lpwstr>0x0101003CC039D63559D041A87E5C37D6EA6C23</vt:lpwstr>
  </property>
  <property fmtid="{D5CDD505-2E9C-101B-9397-08002B2CF9AE}" pid="4" name="DMSKeywords">
    <vt:lpwstr/>
  </property>
  <property fmtid="{D5CDD505-2E9C-101B-9397-08002B2CF9AE}" pid="5" name="_dlc_DocIdItemGuid">
    <vt:lpwstr>54f8148e-6612-4017-9ff7-2d9759971d29</vt:lpwstr>
  </property>
  <property fmtid="{D5CDD505-2E9C-101B-9397-08002B2CF9AE}" pid="6" name="ecm_RecordRestrictions">
    <vt:lpwstr/>
  </property>
  <property fmtid="{D5CDD505-2E9C-101B-9397-08002B2CF9AE}" pid="7" name="ecm_ItemLockHolders">
    <vt:lpwstr/>
  </property>
  <property fmtid="{D5CDD505-2E9C-101B-9397-08002B2CF9AE}" pid="8" name="MediaServiceImageTags">
    <vt:lpwstr/>
  </property>
</Properties>
</file>